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hidePivotFieldList="1" defaultThemeVersion="124226"/>
  <mc:AlternateContent xmlns:mc="http://schemas.openxmlformats.org/markup-compatibility/2006">
    <mc:Choice Requires="x15">
      <x15ac:absPath xmlns:x15ac="http://schemas.microsoft.com/office/spreadsheetml/2010/11/ac" url="C:\Users\admin\Desktop\MyProjects\"/>
    </mc:Choice>
  </mc:AlternateContent>
  <xr:revisionPtr revIDLastSave="0" documentId="8_{FA2C71EF-C72A-4DB4-A108-B61480FE8AAB}" xr6:coauthVersionLast="36" xr6:coauthVersionMax="36" xr10:uidLastSave="{00000000-0000-0000-0000-000000000000}"/>
  <bookViews>
    <workbookView xWindow="0" yWindow="0" windowWidth="19200" windowHeight="7070" firstSheet="2" activeTab="8" xr2:uid="{00000000-000D-0000-FFFF-FFFF00000000}"/>
  </bookViews>
  <sheets>
    <sheet name="Sheet1" sheetId="1" r:id="rId1"/>
    <sheet name="Pivot_Attendance" sheetId="5" r:id="rId2"/>
    <sheet name="Pivot_Bar" sheetId="6" r:id="rId3"/>
    <sheet name="Pivot_Attrition" sheetId="7" r:id="rId4"/>
    <sheet name="Pivot_PromoPerf" sheetId="8" r:id="rId5"/>
    <sheet name="RawData" sheetId="2" r:id="rId6"/>
    <sheet name="Calc" sheetId="3" r:id="rId7"/>
    <sheet name="Pivots" sheetId="4" r:id="rId8"/>
    <sheet name="Dashboard" sheetId="9" r:id="rId9"/>
  </sheets>
  <definedNames>
    <definedName name="KPI_AttritionRate">Calc!$E$1</definedName>
    <definedName name="KPI_AVERAGEIFS">Calc!$G$1</definedName>
    <definedName name="KPI_Avg_Attendance">Calc!$B$1</definedName>
    <definedName name="KPI_AvgAttendance">Calc!$B$1</definedName>
    <definedName name="KPI_AvgPerformanceRating">Calc!$C$1</definedName>
    <definedName name="KPI_AvgRatingByDept">Calc!$F$1</definedName>
    <definedName name="KPI_CORREL">Calc!$H$1</definedName>
    <definedName name="KPI_PromotionRate">Calc!$D$1</definedName>
    <definedName name="KPI_TotalEmployees">Calc!$A$1</definedName>
    <definedName name="Slicer_Attrition">#N/A</definedName>
    <definedName name="Slicer_Department">#N/A</definedName>
    <definedName name="Slicer_Promotions">#N/A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L6" i="9" l="1"/>
  <c r="F6" i="9"/>
  <c r="I6" i="9"/>
  <c r="C6" i="9"/>
  <c r="A1" i="3"/>
  <c r="H1" i="3"/>
  <c r="G1" i="3"/>
  <c r="F1" i="3"/>
  <c r="B1" i="3"/>
  <c r="E1" i="3"/>
  <c r="D1" i="3"/>
  <c r="C1" i="3"/>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6" authorId="0" shapeId="0" xr:uid="{8171EDF9-F812-4D5A-A562-D5ACF2ACD7AA}">
      <text>
        <r>
          <rPr>
            <b/>
            <sz val="9"/>
            <color indexed="81"/>
            <rFont val="Tahoma"/>
            <charset val="1"/>
          </rPr>
          <t>Total Employees</t>
        </r>
      </text>
    </comment>
    <comment ref="F6" authorId="0" shapeId="0" xr:uid="{FB9E1CE4-A498-469E-9D5A-544A94014E4B}">
      <text>
        <r>
          <rPr>
            <b/>
            <sz val="9"/>
            <color indexed="81"/>
            <rFont val="Tahoma"/>
            <family val="2"/>
          </rPr>
          <t xml:space="preserve">Avg Attendance
</t>
        </r>
      </text>
    </comment>
    <comment ref="I6" authorId="0" shapeId="0" xr:uid="{8F70D9E7-584B-4A87-864D-0EAE6D853972}">
      <text>
        <r>
          <rPr>
            <b/>
            <sz val="9"/>
            <color indexed="81"/>
            <rFont val="Tahoma"/>
            <family val="2"/>
          </rPr>
          <t>Avg Rating</t>
        </r>
      </text>
    </comment>
    <comment ref="L6" authorId="0" shapeId="0" xr:uid="{188B3880-36BF-472E-97C5-CCA965B5ED02}">
      <text>
        <r>
          <rPr>
            <b/>
            <sz val="9"/>
            <color indexed="81"/>
            <rFont val="Tahoma"/>
            <charset val="1"/>
          </rPr>
          <t>Attrition Rate</t>
        </r>
      </text>
    </comment>
  </commentList>
</comments>
</file>

<file path=xl/sharedStrings.xml><?xml version="1.0" encoding="utf-8"?>
<sst xmlns="http://schemas.openxmlformats.org/spreadsheetml/2006/main" count="450" uniqueCount="123">
  <si>
    <t>Employee_ID</t>
  </si>
  <si>
    <t>Name</t>
  </si>
  <si>
    <t>Department</t>
  </si>
  <si>
    <t>Attendance (%)</t>
  </si>
  <si>
    <t>Performance_Rating</t>
  </si>
  <si>
    <t>Promotions</t>
  </si>
  <si>
    <t>Attrition</t>
  </si>
  <si>
    <t>E1000</t>
  </si>
  <si>
    <t>E1001</t>
  </si>
  <si>
    <t>E1002</t>
  </si>
  <si>
    <t>E1003</t>
  </si>
  <si>
    <t>E1004</t>
  </si>
  <si>
    <t>E1005</t>
  </si>
  <si>
    <t>E1006</t>
  </si>
  <si>
    <t>E1007</t>
  </si>
  <si>
    <t>E1008</t>
  </si>
  <si>
    <t>E1009</t>
  </si>
  <si>
    <t>E1010</t>
  </si>
  <si>
    <t>E1011</t>
  </si>
  <si>
    <t>E1012</t>
  </si>
  <si>
    <t>E1013</t>
  </si>
  <si>
    <t>E1014</t>
  </si>
  <si>
    <t>E1015</t>
  </si>
  <si>
    <t>E1016</t>
  </si>
  <si>
    <t>E1017</t>
  </si>
  <si>
    <t>E1018</t>
  </si>
  <si>
    <t>E1019</t>
  </si>
  <si>
    <t>E1020</t>
  </si>
  <si>
    <t>E1021</t>
  </si>
  <si>
    <t>E1022</t>
  </si>
  <si>
    <t>E1023</t>
  </si>
  <si>
    <t>E1024</t>
  </si>
  <si>
    <t>E1025</t>
  </si>
  <si>
    <t>E1026</t>
  </si>
  <si>
    <t>E1027</t>
  </si>
  <si>
    <t>E1028</t>
  </si>
  <si>
    <t>E1029</t>
  </si>
  <si>
    <t>E1030</t>
  </si>
  <si>
    <t>E1031</t>
  </si>
  <si>
    <t>E1032</t>
  </si>
  <si>
    <t>E1033</t>
  </si>
  <si>
    <t>E1034</t>
  </si>
  <si>
    <t>E1035</t>
  </si>
  <si>
    <t>E1036</t>
  </si>
  <si>
    <t>E1037</t>
  </si>
  <si>
    <t>E1038</t>
  </si>
  <si>
    <t>E1039</t>
  </si>
  <si>
    <t>E1040</t>
  </si>
  <si>
    <t>E1041</t>
  </si>
  <si>
    <t>E1042</t>
  </si>
  <si>
    <t>E1043</t>
  </si>
  <si>
    <t>E1044</t>
  </si>
  <si>
    <t>E1045</t>
  </si>
  <si>
    <t>E1046</t>
  </si>
  <si>
    <t>E1047</t>
  </si>
  <si>
    <t>E1048</t>
  </si>
  <si>
    <t>E1049</t>
  </si>
  <si>
    <t>Employee_1</t>
  </si>
  <si>
    <t>Employee_2</t>
  </si>
  <si>
    <t>Employee_3</t>
  </si>
  <si>
    <t>Employee_4</t>
  </si>
  <si>
    <t>Employee_5</t>
  </si>
  <si>
    <t>Employee_6</t>
  </si>
  <si>
    <t>Employee_7</t>
  </si>
  <si>
    <t>Employee_8</t>
  </si>
  <si>
    <t>Employee_9</t>
  </si>
  <si>
    <t>Employee_10</t>
  </si>
  <si>
    <t>Employee_11</t>
  </si>
  <si>
    <t>Employee_12</t>
  </si>
  <si>
    <t>Employee_13</t>
  </si>
  <si>
    <t>Employee_14</t>
  </si>
  <si>
    <t>Employee_15</t>
  </si>
  <si>
    <t>Employee_16</t>
  </si>
  <si>
    <t>Employee_17</t>
  </si>
  <si>
    <t>Employee_18</t>
  </si>
  <si>
    <t>Employee_19</t>
  </si>
  <si>
    <t>Employee_20</t>
  </si>
  <si>
    <t>Employee_21</t>
  </si>
  <si>
    <t>Employee_22</t>
  </si>
  <si>
    <t>Employee_23</t>
  </si>
  <si>
    <t>Employee_24</t>
  </si>
  <si>
    <t>Employee_25</t>
  </si>
  <si>
    <t>Employee_26</t>
  </si>
  <si>
    <t>Employee_27</t>
  </si>
  <si>
    <t>Employee_28</t>
  </si>
  <si>
    <t>Employee_29</t>
  </si>
  <si>
    <t>Employee_30</t>
  </si>
  <si>
    <t>Employee_31</t>
  </si>
  <si>
    <t>Employee_32</t>
  </si>
  <si>
    <t>Employee_33</t>
  </si>
  <si>
    <t>Employee_34</t>
  </si>
  <si>
    <t>Employee_35</t>
  </si>
  <si>
    <t>Employee_36</t>
  </si>
  <si>
    <t>Employee_37</t>
  </si>
  <si>
    <t>Employee_38</t>
  </si>
  <si>
    <t>Employee_39</t>
  </si>
  <si>
    <t>Employee_40</t>
  </si>
  <si>
    <t>Employee_41</t>
  </si>
  <si>
    <t>Employee_42</t>
  </si>
  <si>
    <t>Employee_43</t>
  </si>
  <si>
    <t>Employee_44</t>
  </si>
  <si>
    <t>Employee_45</t>
  </si>
  <si>
    <t>Employee_46</t>
  </si>
  <si>
    <t>Employee_47</t>
  </si>
  <si>
    <t>Employee_48</t>
  </si>
  <si>
    <t>Employee_49</t>
  </si>
  <si>
    <t>Employee_50</t>
  </si>
  <si>
    <t>Sales</t>
  </si>
  <si>
    <t>Marketing</t>
  </si>
  <si>
    <t>Finance</t>
  </si>
  <si>
    <t>HR</t>
  </si>
  <si>
    <t>IT</t>
  </si>
  <si>
    <t>No</t>
  </si>
  <si>
    <t>Yes</t>
  </si>
  <si>
    <t>Attendance</t>
  </si>
  <si>
    <t>AttendancePct</t>
  </si>
  <si>
    <t>Row Labels</t>
  </si>
  <si>
    <t>Grand Total</t>
  </si>
  <si>
    <t>Average of AttendancePct</t>
  </si>
  <si>
    <t>Sum of Performance_Rating</t>
  </si>
  <si>
    <t>Count of Employee_ID</t>
  </si>
  <si>
    <t>Column Labels</t>
  </si>
  <si>
    <t>HR Employee Performance &amp; Attrition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</si>
</sst>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family val="2"/>
      <scheme val="minor"/>
    </font>
    <font>
      <b/>
      <sz val="11"/>
      <color theme="1"/>
      <name val="Calibri"/>
      <family val="2"/>
      <scheme val="minor"/>
    </font>
    <font>
      <sz val="11"/>
      <color theme="1"/>
      <name val="Calibri"/>
      <family val="2"/>
      <scheme val="minor"/>
    </font>
    <font>
      <sz val="10"/>
      <color theme="1"/>
      <name val="Arial Unicode MS"/>
    </font>
    <font>
      <sz val="36"/>
      <color theme="1"/>
      <name val="Calibri"/>
      <family val="2"/>
      <scheme val="minor"/>
    </font>
    <font>
      <b/>
      <sz val="28"/>
      <color theme="1"/>
      <name val="Calibri"/>
      <family val="2"/>
      <scheme val="minor"/>
    </font>
    <font>
      <b/>
      <sz val="36"/>
      <color theme="1"/>
      <name val="Calibri"/>
      <family val="2"/>
      <scheme val="minor"/>
    </font>
    <font>
      <b/>
      <sz val="36"/>
      <color theme="1"/>
      <name val="Times New Roman"/>
      <family val="1"/>
    </font>
    <font>
      <b/>
      <sz val="9"/>
      <color indexed="81"/>
      <name val="Tahoma"/>
      <charset val="1"/>
    </font>
    <font>
      <b/>
      <sz val="9"/>
      <color indexed="81"/>
      <name val="Tahoma"/>
      <family val="2"/>
    </font>
  </fonts>
  <fills count="3">
    <fill>
      <patternFill patternType="none"/>
    </fill>
    <fill>
      <patternFill patternType="gray125"/>
    </fill>
    <fill>
      <patternFill patternType="solid">
        <fgColor theme="8" tint="0.59999389629810485"/>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4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2" fontId="0" fillId="0" borderId="0" xfId="0" applyNumberFormat="1"/>
    <xf numFmtId="10" fontId="0" fillId="0" borderId="0" xfId="0" applyNumberFormat="1"/>
    <xf numFmtId="9" fontId="0" fillId="0" borderId="0" xfId="1" applyFont="1"/>
    <xf numFmtId="0" fontId="3" fillId="0" borderId="0" xfId="0" applyFont="1"/>
    <xf numFmtId="0" fontId="0" fillId="0" borderId="0" xfId="0" applyAlignment="1">
      <alignment wrapText="1"/>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pivotButton="1"/>
    <xf numFmtId="0" fontId="0" fillId="0" borderId="0" xfId="0" applyAlignment="1">
      <alignment horizontal="left"/>
    </xf>
    <xf numFmtId="0" fontId="0" fillId="0" borderId="0" xfId="0" applyNumberFormat="1"/>
    <xf numFmtId="0" fontId="5" fillId="0" borderId="0" xfId="0" applyFont="1" applyAlignment="1"/>
    <xf numFmtId="0" fontId="6" fillId="0" borderId="0" xfId="0" applyFont="1" applyAlignment="1">
      <alignment horizontal="center" vertical="center"/>
    </xf>
    <xf numFmtId="0" fontId="6" fillId="0" borderId="0" xfId="0" applyFont="1" applyAlignment="1">
      <alignment vertical="center"/>
    </xf>
    <xf numFmtId="0" fontId="7" fillId="0" borderId="0" xfId="0" applyFont="1" applyAlignment="1">
      <alignment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8" xfId="0" applyFont="1" applyFill="1" applyBorder="1" applyAlignment="1">
      <alignment horizontal="center" vertical="center"/>
    </xf>
    <xf numFmtId="164" fontId="4" fillId="2" borderId="4" xfId="0" applyNumberFormat="1" applyFont="1" applyFill="1" applyBorder="1" applyAlignment="1">
      <alignment horizontal="center" vertical="center"/>
    </xf>
    <xf numFmtId="164" fontId="4" fillId="2" borderId="5" xfId="0" applyNumberFormat="1" applyFont="1" applyFill="1" applyBorder="1" applyAlignment="1">
      <alignment horizontal="center" vertical="center"/>
    </xf>
    <xf numFmtId="164" fontId="4" fillId="2" borderId="6" xfId="0" applyNumberFormat="1" applyFont="1" applyFill="1" applyBorder="1" applyAlignment="1">
      <alignment horizontal="center" vertical="center"/>
    </xf>
    <xf numFmtId="164" fontId="4" fillId="2" borderId="7" xfId="0" applyNumberFormat="1" applyFont="1" applyFill="1" applyBorder="1" applyAlignment="1">
      <alignment horizontal="center" vertical="center"/>
    </xf>
    <xf numFmtId="164" fontId="4" fillId="2" borderId="3" xfId="0" applyNumberFormat="1" applyFont="1" applyFill="1" applyBorder="1" applyAlignment="1">
      <alignment horizontal="center" vertical="center"/>
    </xf>
    <xf numFmtId="164" fontId="4" fillId="2" borderId="8" xfId="0" applyNumberFormat="1" applyFont="1" applyFill="1" applyBorder="1" applyAlignment="1">
      <alignment horizontal="center" vertical="center"/>
    </xf>
    <xf numFmtId="2" fontId="4" fillId="2" borderId="4" xfId="0" applyNumberFormat="1" applyFont="1" applyFill="1" applyBorder="1" applyAlignment="1">
      <alignment horizontal="center" vertical="center"/>
    </xf>
    <xf numFmtId="2" fontId="4" fillId="2" borderId="5" xfId="0" applyNumberFormat="1" applyFont="1" applyFill="1" applyBorder="1" applyAlignment="1">
      <alignment horizontal="center" vertical="center"/>
    </xf>
    <xf numFmtId="2" fontId="4" fillId="2" borderId="6" xfId="0" applyNumberFormat="1" applyFont="1" applyFill="1" applyBorder="1" applyAlignment="1">
      <alignment horizontal="center" vertical="center"/>
    </xf>
    <xf numFmtId="2" fontId="4" fillId="2" borderId="7" xfId="0" applyNumberFormat="1" applyFont="1" applyFill="1" applyBorder="1" applyAlignment="1">
      <alignment horizontal="center" vertical="center"/>
    </xf>
    <xf numFmtId="2" fontId="4" fillId="2" borderId="3" xfId="0" applyNumberFormat="1" applyFont="1" applyFill="1" applyBorder="1" applyAlignment="1">
      <alignment horizontal="center" vertical="center"/>
    </xf>
    <xf numFmtId="2" fontId="4" fillId="2" borderId="8" xfId="0" applyNumberFormat="1" applyFont="1" applyFill="1" applyBorder="1" applyAlignment="1">
      <alignment horizontal="center" vertical="center"/>
    </xf>
    <xf numFmtId="9" fontId="4" fillId="2" borderId="4" xfId="0" applyNumberFormat="1" applyFont="1" applyFill="1" applyBorder="1" applyAlignment="1">
      <alignment horizontal="center" vertical="center"/>
    </xf>
    <xf numFmtId="9" fontId="4" fillId="2" borderId="5" xfId="0" applyNumberFormat="1" applyFont="1" applyFill="1" applyBorder="1" applyAlignment="1">
      <alignment horizontal="center" vertical="center"/>
    </xf>
    <xf numFmtId="9" fontId="4" fillId="2" borderId="6" xfId="0" applyNumberFormat="1" applyFont="1" applyFill="1" applyBorder="1" applyAlignment="1">
      <alignment horizontal="center" vertical="center"/>
    </xf>
    <xf numFmtId="9" fontId="4" fillId="2" borderId="7" xfId="0" applyNumberFormat="1" applyFont="1" applyFill="1" applyBorder="1" applyAlignment="1">
      <alignment horizontal="center" vertical="center"/>
    </xf>
    <xf numFmtId="9" fontId="4" fillId="2" borderId="3" xfId="0" applyNumberFormat="1" applyFont="1" applyFill="1" applyBorder="1" applyAlignment="1">
      <alignment horizontal="center" vertical="center"/>
    </xf>
    <xf numFmtId="9" fontId="4" fillId="2" borderId="8" xfId="0" applyNumberFormat="1" applyFont="1" applyFill="1" applyBorder="1" applyAlignment="1">
      <alignment horizontal="center" vertical="center"/>
    </xf>
    <xf numFmtId="0" fontId="7" fillId="0" borderId="0" xfId="0" applyFont="1" applyAlignment="1">
      <alignment horizontal="center" vertical="center"/>
    </xf>
  </cellXfs>
  <cellStyles count="2">
    <cellStyle name="Normal" xfId="0" builtinId="0"/>
    <cellStyle name="Percent" xfId="1" builtinId="5"/>
  </cellStyles>
  <dxfs count="11">
    <dxf>
      <fill>
        <patternFill>
          <bgColor theme="8" tint="-0.24994659260841701"/>
        </patternFill>
      </fill>
    </dxf>
    <dxf>
      <fill>
        <patternFill>
          <bgColor theme="8" tint="-0.24994659260841701"/>
        </patternFill>
      </fill>
    </dxf>
    <dxf>
      <font>
        <color rgb="FF9C0006"/>
      </font>
      <fill>
        <patternFill>
          <bgColor rgb="FFFFC7CE"/>
        </patternFill>
      </fill>
    </dxf>
    <dxf>
      <font>
        <color rgb="FF9C0006"/>
      </font>
      <fill>
        <patternFill>
          <bgColor rgb="FFFFC7CE"/>
        </patternFill>
      </fil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theme="8" tint="-0.24994659260841701"/>
        </patternFill>
      </fill>
    </dxf>
    <dxf>
      <fill>
        <patternFill>
          <bgColor theme="8" tint="-0.24994659260841701"/>
        </patternFill>
      </fill>
    </dxf>
    <dxf>
      <fill>
        <patternFill>
          <bgColor theme="8"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[HR_Employee_PerformanceFinal.xlsx]Pivot_Attendance!PivotTable1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Attendance by Dept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Pivot_Attendance!$B$3</c:f>
              <c:strCache>
                <c:ptCount val="1"/>
                <c:pt idx="0">
                  <c:v>Total</c:v>
                </c:pt>
              </c:strCache>
            </c:strRef>
          </c:tx>
          <c:spPr>
            <a:solidFill>
              <a:schemeClr val="accent1"/>
            </a:solidFill>
            <a:ln>
              <a:noFill/>
            </a:ln>
            <a:effectLst/>
          </c:spPr>
          <c:invertIfNegative val="0"/>
          <c:cat>
            <c:strRef>
              <c:f>Pivot_Attendance!$A$4:$A$9</c:f>
              <c:strCache>
                <c:ptCount val="5"/>
                <c:pt idx="0">
                  <c:v>Finance</c:v>
                </c:pt>
                <c:pt idx="1">
                  <c:v>HR</c:v>
                </c:pt>
                <c:pt idx="2">
                  <c:v>IT</c:v>
                </c:pt>
                <c:pt idx="3">
                  <c:v>Marketing</c:v>
                </c:pt>
                <c:pt idx="4">
                  <c:v>Sales</c:v>
                </c:pt>
              </c:strCache>
            </c:strRef>
          </c:cat>
          <c:val>
            <c:numRef>
              <c:f>Pivot_Attendance!$B$4:$B$9</c:f>
              <c:numCache>
                <c:formatCode>0.00%</c:formatCode>
                <c:ptCount val="5"/>
                <c:pt idx="0">
                  <c:v>0.77799999999999991</c:v>
                </c:pt>
                <c:pt idx="1">
                  <c:v>0.81500000000000006</c:v>
                </c:pt>
                <c:pt idx="2">
                  <c:v>0.76857142857142868</c:v>
                </c:pt>
                <c:pt idx="3">
                  <c:v>0.7569999999999999</c:v>
                </c:pt>
                <c:pt idx="4">
                  <c:v>0.80384615384615365</c:v>
                </c:pt>
              </c:numCache>
            </c:numRef>
          </c:val>
          <c:extLst>
            <c:ext xmlns:c16="http://schemas.microsoft.com/office/drawing/2014/chart" uri="{C3380CC4-5D6E-409C-BE32-E72D297353CC}">
              <c16:uniqueId val="{00000000-EA64-4C92-BE45-C920FD686903}"/>
            </c:ext>
          </c:extLst>
        </c:ser>
        <c:dLbls>
          <c:showLegendKey val="0"/>
          <c:showVal val="0"/>
          <c:showCatName val="0"/>
          <c:showSerName val="0"/>
          <c:showPercent val="0"/>
          <c:showBubbleSize val="0"/>
        </c:dLbls>
        <c:gapWidth val="219"/>
        <c:overlap val="-27"/>
        <c:axId val="965988975"/>
        <c:axId val="968007151"/>
      </c:barChart>
      <c:catAx>
        <c:axId val="96598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07151"/>
        <c:crosses val="autoZero"/>
        <c:auto val="1"/>
        <c:lblAlgn val="ctr"/>
        <c:lblOffset val="100"/>
        <c:noMultiLvlLbl val="0"/>
      </c:catAx>
      <c:valAx>
        <c:axId val="968007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8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[HR_Employee_PerformanceFinal.xlsx]Pivot_Bar!PivotTable2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by Dept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Pivot_Bar!$B$3</c:f>
              <c:strCache>
                <c:ptCount val="1"/>
                <c:pt idx="0">
                  <c:v>Total</c:v>
                </c:pt>
              </c:strCache>
            </c:strRef>
          </c:tx>
          <c:spPr>
            <a:solidFill>
              <a:schemeClr val="accent1"/>
            </a:solidFill>
            <a:ln>
              <a:noFill/>
            </a:ln>
            <a:effectLst/>
            <a:sp3d/>
          </c:spPr>
          <c:invertIfNegative val="0"/>
          <c:cat>
            <c:strRef>
              <c:f>Pivot_Bar!$A$4:$A$9</c:f>
              <c:strCache>
                <c:ptCount val="5"/>
                <c:pt idx="0">
                  <c:v>Finance</c:v>
                </c:pt>
                <c:pt idx="1">
                  <c:v>HR</c:v>
                </c:pt>
                <c:pt idx="2">
                  <c:v>IT</c:v>
                </c:pt>
                <c:pt idx="3">
                  <c:v>Marketing</c:v>
                </c:pt>
                <c:pt idx="4">
                  <c:v>Sales</c:v>
                </c:pt>
              </c:strCache>
            </c:strRef>
          </c:cat>
          <c:val>
            <c:numRef>
              <c:f>Pivot_Bar!$B$4:$B$9</c:f>
              <c:numCache>
                <c:formatCode>General</c:formatCode>
                <c:ptCount val="5"/>
                <c:pt idx="0">
                  <c:v>33</c:v>
                </c:pt>
                <c:pt idx="1">
                  <c:v>26</c:v>
                </c:pt>
                <c:pt idx="2">
                  <c:v>24</c:v>
                </c:pt>
                <c:pt idx="3">
                  <c:v>30</c:v>
                </c:pt>
                <c:pt idx="4">
                  <c:v>38</c:v>
                </c:pt>
              </c:numCache>
            </c:numRef>
          </c:val>
          <c:extLst>
            <c:ext xmlns:c16="http://schemas.microsoft.com/office/drawing/2014/chart" uri="{C3380CC4-5D6E-409C-BE32-E72D297353CC}">
              <c16:uniqueId val="{00000000-2B86-4B1F-830E-9C819134423E}"/>
            </c:ext>
          </c:extLst>
        </c:ser>
        <c:dLbls>
          <c:showLegendKey val="0"/>
          <c:showVal val="0"/>
          <c:showCatName val="0"/>
          <c:showSerName val="0"/>
          <c:showPercent val="0"/>
          <c:showBubbleSize val="0"/>
        </c:dLbls>
        <c:gapWidth val="150"/>
        <c:shape val="box"/>
        <c:axId val="1042371567"/>
        <c:axId val="962364751"/>
        <c:axId val="0"/>
      </c:bar3DChart>
      <c:catAx>
        <c:axId val="1042371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64751"/>
        <c:crosses val="autoZero"/>
        <c:auto val="1"/>
        <c:lblAlgn val="ctr"/>
        <c:lblOffset val="100"/>
        <c:noMultiLvlLbl val="0"/>
      </c:catAx>
      <c:valAx>
        <c:axId val="962364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37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[HR_Employee_PerformanceFinal.xlsx]Pivot_Attrition!PivotTable3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Pie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Pivot_Attrition!$B$3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572-43B3-BB4F-8AF15268FD8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572-43B3-BB4F-8AF15268FD8C}"/>
              </c:ext>
            </c:extLst>
          </c:dPt>
          <c:cat>
            <c:strRef>
              <c:f>Pivot_Attrition!$A$4:$A$6</c:f>
              <c:strCache>
                <c:ptCount val="2"/>
                <c:pt idx="0">
                  <c:v>No</c:v>
                </c:pt>
                <c:pt idx="1">
                  <c:v>Yes</c:v>
                </c:pt>
              </c:strCache>
            </c:strRef>
          </c:cat>
          <c:val>
            <c:numRef>
              <c:f>Pivot_Attrition!$B$4:$B$6</c:f>
              <c:numCache>
                <c:formatCode>General</c:formatCode>
                <c:ptCount val="2"/>
                <c:pt idx="0">
                  <c:v>41</c:v>
                </c:pt>
                <c:pt idx="1">
                  <c:v>9</c:v>
                </c:pt>
              </c:numCache>
            </c:numRef>
          </c:val>
          <c:extLst>
            <c:ext xmlns:c16="http://schemas.microsoft.com/office/drawing/2014/chart" uri="{C3380CC4-5D6E-409C-BE32-E72D297353CC}">
              <c16:uniqueId val="{00000000-90F6-4B13-9037-EA4A93D9540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[HR_Employee_PerformanceFinal.xlsx]Pivot_PromoPerf!PivotTable4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Promotion vs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Pivot_PromoPerf!$B$3:$B$4</c:f>
              <c:strCache>
                <c:ptCount val="1"/>
                <c:pt idx="0">
                  <c:v>0</c:v>
                </c:pt>
              </c:strCache>
            </c:strRef>
          </c:tx>
          <c:spPr>
            <a:solidFill>
              <a:schemeClr val="accent1"/>
            </a:solidFill>
            <a:ln>
              <a:noFill/>
            </a:ln>
            <a:effectLst/>
          </c:spPr>
          <c:invertIfNegative val="0"/>
          <c:cat>
            <c:strRef>
              <c:f>Pivot_PromoPerf!$A$5:$A$10</c:f>
              <c:strCache>
                <c:ptCount val="5"/>
                <c:pt idx="0">
                  <c:v>1</c:v>
                </c:pt>
                <c:pt idx="1">
                  <c:v>2</c:v>
                </c:pt>
                <c:pt idx="2">
                  <c:v>3</c:v>
                </c:pt>
                <c:pt idx="3">
                  <c:v>4</c:v>
                </c:pt>
                <c:pt idx="4">
                  <c:v>5</c:v>
                </c:pt>
              </c:strCache>
            </c:strRef>
          </c:cat>
          <c:val>
            <c:numRef>
              <c:f>Pivot_PromoPerf!$B$5:$B$10</c:f>
              <c:numCache>
                <c:formatCode>General</c:formatCode>
                <c:ptCount val="5"/>
                <c:pt idx="0">
                  <c:v>3</c:v>
                </c:pt>
                <c:pt idx="1">
                  <c:v>7</c:v>
                </c:pt>
                <c:pt idx="2">
                  <c:v>18</c:v>
                </c:pt>
                <c:pt idx="3">
                  <c:v>14</c:v>
                </c:pt>
                <c:pt idx="4">
                  <c:v>1</c:v>
                </c:pt>
              </c:numCache>
            </c:numRef>
          </c:val>
          <c:extLst>
            <c:ext xmlns:c16="http://schemas.microsoft.com/office/drawing/2014/chart" uri="{C3380CC4-5D6E-409C-BE32-E72D297353CC}">
              <c16:uniqueId val="{00000000-1955-4C8F-AD55-085649FCEDB8}"/>
            </c:ext>
          </c:extLst>
        </c:ser>
        <c:ser>
          <c:idx val="1"/>
          <c:order val="1"/>
          <c:tx>
            <c:strRef>
              <c:f>Pivot_PromoPerf!$C$3:$C$4</c:f>
              <c:strCache>
                <c:ptCount val="1"/>
                <c:pt idx="0">
                  <c:v>1</c:v>
                </c:pt>
              </c:strCache>
            </c:strRef>
          </c:tx>
          <c:spPr>
            <a:solidFill>
              <a:schemeClr val="accent2"/>
            </a:solidFill>
            <a:ln>
              <a:noFill/>
            </a:ln>
            <a:effectLst/>
          </c:spPr>
          <c:invertIfNegative val="0"/>
          <c:cat>
            <c:strRef>
              <c:f>Pivot_PromoPerf!$A$5:$A$10</c:f>
              <c:strCache>
                <c:ptCount val="5"/>
                <c:pt idx="0">
                  <c:v>1</c:v>
                </c:pt>
                <c:pt idx="1">
                  <c:v>2</c:v>
                </c:pt>
                <c:pt idx="2">
                  <c:v>3</c:v>
                </c:pt>
                <c:pt idx="3">
                  <c:v>4</c:v>
                </c:pt>
                <c:pt idx="4">
                  <c:v>5</c:v>
                </c:pt>
              </c:strCache>
            </c:strRef>
          </c:cat>
          <c:val>
            <c:numRef>
              <c:f>Pivot_PromoPerf!$C$5:$C$10</c:f>
              <c:numCache>
                <c:formatCode>General</c:formatCode>
                <c:ptCount val="5"/>
                <c:pt idx="0">
                  <c:v>2</c:v>
                </c:pt>
                <c:pt idx="1">
                  <c:v>1</c:v>
                </c:pt>
                <c:pt idx="2">
                  <c:v>2</c:v>
                </c:pt>
                <c:pt idx="3">
                  <c:v>1</c:v>
                </c:pt>
                <c:pt idx="4">
                  <c:v>1</c:v>
                </c:pt>
              </c:numCache>
            </c:numRef>
          </c:val>
          <c:extLst>
            <c:ext xmlns:c16="http://schemas.microsoft.com/office/drawing/2014/chart" uri="{C3380CC4-5D6E-409C-BE32-E72D297353CC}">
              <c16:uniqueId val="{00000003-1955-4C8F-AD55-085649FCEDB8}"/>
            </c:ext>
          </c:extLst>
        </c:ser>
        <c:dLbls>
          <c:showLegendKey val="0"/>
          <c:showVal val="0"/>
          <c:showCatName val="0"/>
          <c:showSerName val="0"/>
          <c:showPercent val="0"/>
          <c:showBubbleSize val="0"/>
        </c:dLbls>
        <c:gapWidth val="150"/>
        <c:overlap val="100"/>
        <c:axId val="1043544783"/>
        <c:axId val="1043058095"/>
      </c:barChart>
      <c:catAx>
        <c:axId val="104354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058095"/>
        <c:crosses val="autoZero"/>
        <c:auto val="1"/>
        <c:lblAlgn val="ctr"/>
        <c:lblOffset val="100"/>
        <c:noMultiLvlLbl val="0"/>
      </c:catAx>
      <c:valAx>
        <c:axId val="104305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4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[HR_Employee_PerformanceFinal.xlsx]Pivot_Attendance!PivotTable1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Attendance by Dept </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Pivot_Attendance!$B$3</c:f>
              <c:strCache>
                <c:ptCount val="1"/>
                <c:pt idx="0">
                  <c:v>Total</c:v>
                </c:pt>
              </c:strCache>
            </c:strRef>
          </c:tx>
          <c:spPr>
            <a:solidFill>
              <a:schemeClr val="accent1"/>
            </a:solidFill>
            <a:ln>
              <a:noFill/>
            </a:ln>
            <a:effectLst/>
          </c:spPr>
          <c:invertIfNegative val="0"/>
          <c:cat>
            <c:strRef>
              <c:f>Pivot_Attendance!$A$4:$A$9</c:f>
              <c:strCache>
                <c:ptCount val="5"/>
                <c:pt idx="0">
                  <c:v>Finance</c:v>
                </c:pt>
                <c:pt idx="1">
                  <c:v>HR</c:v>
                </c:pt>
                <c:pt idx="2">
                  <c:v>IT</c:v>
                </c:pt>
                <c:pt idx="3">
                  <c:v>Marketing</c:v>
                </c:pt>
                <c:pt idx="4">
                  <c:v>Sales</c:v>
                </c:pt>
              </c:strCache>
            </c:strRef>
          </c:cat>
          <c:val>
            <c:numRef>
              <c:f>Pivot_Attendance!$B$4:$B$9</c:f>
              <c:numCache>
                <c:formatCode>0.00%</c:formatCode>
                <c:ptCount val="5"/>
                <c:pt idx="0">
                  <c:v>0.77799999999999991</c:v>
                </c:pt>
                <c:pt idx="1">
                  <c:v>0.81500000000000006</c:v>
                </c:pt>
                <c:pt idx="2">
                  <c:v>0.76857142857142868</c:v>
                </c:pt>
                <c:pt idx="3">
                  <c:v>0.7569999999999999</c:v>
                </c:pt>
                <c:pt idx="4">
                  <c:v>0.80384615384615365</c:v>
                </c:pt>
              </c:numCache>
            </c:numRef>
          </c:val>
          <c:extLst>
            <c:ext xmlns:c16="http://schemas.microsoft.com/office/drawing/2014/chart" uri="{C3380CC4-5D6E-409C-BE32-E72D297353CC}">
              <c16:uniqueId val="{00000000-BB08-4FF9-90A9-0368031FECB7}"/>
            </c:ext>
          </c:extLst>
        </c:ser>
        <c:dLbls>
          <c:showLegendKey val="0"/>
          <c:showVal val="0"/>
          <c:showCatName val="0"/>
          <c:showSerName val="0"/>
          <c:showPercent val="0"/>
          <c:showBubbleSize val="0"/>
        </c:dLbls>
        <c:gapWidth val="219"/>
        <c:overlap val="-27"/>
        <c:axId val="965988975"/>
        <c:axId val="968007151"/>
      </c:barChart>
      <c:catAx>
        <c:axId val="96598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07151"/>
        <c:crosses val="autoZero"/>
        <c:auto val="1"/>
        <c:lblAlgn val="ctr"/>
        <c:lblOffset val="100"/>
        <c:noMultiLvlLbl val="0"/>
      </c:catAx>
      <c:valAx>
        <c:axId val="968007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8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[HR_Employee_PerformanceFinal.xlsx]Pivot_Bar!PivotTable2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by Dept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Pivot_Bar!$B$3</c:f>
              <c:strCache>
                <c:ptCount val="1"/>
                <c:pt idx="0">
                  <c:v>Total</c:v>
                </c:pt>
              </c:strCache>
            </c:strRef>
          </c:tx>
          <c:spPr>
            <a:solidFill>
              <a:schemeClr val="accent1"/>
            </a:solidFill>
            <a:ln>
              <a:noFill/>
            </a:ln>
            <a:effectLst/>
            <a:sp3d/>
          </c:spPr>
          <c:invertIfNegative val="0"/>
          <c:cat>
            <c:strRef>
              <c:f>Pivot_Bar!$A$4:$A$9</c:f>
              <c:strCache>
                <c:ptCount val="5"/>
                <c:pt idx="0">
                  <c:v>Finance</c:v>
                </c:pt>
                <c:pt idx="1">
                  <c:v>HR</c:v>
                </c:pt>
                <c:pt idx="2">
                  <c:v>IT</c:v>
                </c:pt>
                <c:pt idx="3">
                  <c:v>Marketing</c:v>
                </c:pt>
                <c:pt idx="4">
                  <c:v>Sales</c:v>
                </c:pt>
              </c:strCache>
            </c:strRef>
          </c:cat>
          <c:val>
            <c:numRef>
              <c:f>Pivot_Bar!$B$4:$B$9</c:f>
              <c:numCache>
                <c:formatCode>General</c:formatCode>
                <c:ptCount val="5"/>
                <c:pt idx="0">
                  <c:v>33</c:v>
                </c:pt>
                <c:pt idx="1">
                  <c:v>26</c:v>
                </c:pt>
                <c:pt idx="2">
                  <c:v>24</c:v>
                </c:pt>
                <c:pt idx="3">
                  <c:v>30</c:v>
                </c:pt>
                <c:pt idx="4">
                  <c:v>38</c:v>
                </c:pt>
              </c:numCache>
            </c:numRef>
          </c:val>
          <c:extLst>
            <c:ext xmlns:c16="http://schemas.microsoft.com/office/drawing/2014/chart" uri="{C3380CC4-5D6E-409C-BE32-E72D297353CC}">
              <c16:uniqueId val="{00000000-0CEC-489E-BC5C-18661D16B335}"/>
            </c:ext>
          </c:extLst>
        </c:ser>
        <c:dLbls>
          <c:showLegendKey val="0"/>
          <c:showVal val="0"/>
          <c:showCatName val="0"/>
          <c:showSerName val="0"/>
          <c:showPercent val="0"/>
          <c:showBubbleSize val="0"/>
        </c:dLbls>
        <c:gapWidth val="150"/>
        <c:shape val="box"/>
        <c:axId val="1042371567"/>
        <c:axId val="962364751"/>
        <c:axId val="0"/>
      </c:bar3DChart>
      <c:catAx>
        <c:axId val="1042371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64751"/>
        <c:crosses val="autoZero"/>
        <c:auto val="1"/>
        <c:lblAlgn val="ctr"/>
        <c:lblOffset val="100"/>
        <c:noMultiLvlLbl val="0"/>
      </c:catAx>
      <c:valAx>
        <c:axId val="962364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37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[HR_Employee_PerformanceFinal.xlsx]Pivot_Attrition!PivotTable3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Pie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Pivot_Attrition!$B$3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D9E-4230-90C6-32F8B5F6BB2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D9E-4230-90C6-32F8B5F6BB2A}"/>
              </c:ext>
            </c:extLst>
          </c:dPt>
          <c:cat>
            <c:strRef>
              <c:f>Pivot_Attrition!$A$4:$A$6</c:f>
              <c:strCache>
                <c:ptCount val="2"/>
                <c:pt idx="0">
                  <c:v>No</c:v>
                </c:pt>
                <c:pt idx="1">
                  <c:v>Yes</c:v>
                </c:pt>
              </c:strCache>
            </c:strRef>
          </c:cat>
          <c:val>
            <c:numRef>
              <c:f>Pivot_Attrition!$B$4:$B$6</c:f>
              <c:numCache>
                <c:formatCode>General</c:formatCode>
                <c:ptCount val="2"/>
                <c:pt idx="0">
                  <c:v>41</c:v>
                </c:pt>
                <c:pt idx="1">
                  <c:v>9</c:v>
                </c:pt>
              </c:numCache>
            </c:numRef>
          </c:val>
          <c:extLst>
            <c:ext xmlns:c16="http://schemas.microsoft.com/office/drawing/2014/chart" uri="{C3380CC4-5D6E-409C-BE32-E72D297353CC}">
              <c16:uniqueId val="{00000004-3D9E-4230-90C6-32F8B5F6BB2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[HR_Employee_PerformanceFinal.xlsx]Pivot_PromoPerf!PivotTable4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Promotion vs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stacked"/>
        <c:varyColors val="0"/>
        <c:ser>
          <c:idx val="0"/>
          <c:order val="0"/>
          <c:tx>
            <c:strRef>
              <c:f>Pivot_PromoPerf!$B$3:$B$4</c:f>
              <c:strCache>
                <c:ptCount val="1"/>
                <c:pt idx="0">
                  <c:v>0</c:v>
                </c:pt>
              </c:strCache>
            </c:strRef>
          </c:tx>
          <c:spPr>
            <a:solidFill>
              <a:schemeClr val="accent1"/>
            </a:solidFill>
            <a:ln>
              <a:noFill/>
            </a:ln>
            <a:effectLst/>
          </c:spPr>
          <c:invertIfNegative val="0"/>
          <c:cat>
            <c:strRef>
              <c:f>Pivot_PromoPerf!$A$5:$A$10</c:f>
              <c:strCache>
                <c:ptCount val="5"/>
                <c:pt idx="0">
                  <c:v>1</c:v>
                </c:pt>
                <c:pt idx="1">
                  <c:v>2</c:v>
                </c:pt>
                <c:pt idx="2">
                  <c:v>3</c:v>
                </c:pt>
                <c:pt idx="3">
                  <c:v>4</c:v>
                </c:pt>
                <c:pt idx="4">
                  <c:v>5</c:v>
                </c:pt>
              </c:strCache>
            </c:strRef>
          </c:cat>
          <c:val>
            <c:numRef>
              <c:f>Pivot_PromoPerf!$B$5:$B$10</c:f>
              <c:numCache>
                <c:formatCode>General</c:formatCode>
                <c:ptCount val="5"/>
                <c:pt idx="0">
                  <c:v>3</c:v>
                </c:pt>
                <c:pt idx="1">
                  <c:v>7</c:v>
                </c:pt>
                <c:pt idx="2">
                  <c:v>18</c:v>
                </c:pt>
                <c:pt idx="3">
                  <c:v>14</c:v>
                </c:pt>
                <c:pt idx="4">
                  <c:v>1</c:v>
                </c:pt>
              </c:numCache>
            </c:numRef>
          </c:val>
          <c:extLst>
            <c:ext xmlns:c16="http://schemas.microsoft.com/office/drawing/2014/chart" uri="{C3380CC4-5D6E-409C-BE32-E72D297353CC}">
              <c16:uniqueId val="{00000000-0657-4ED5-A2A3-497CF7988966}"/>
            </c:ext>
          </c:extLst>
        </c:ser>
        <c:ser>
          <c:idx val="1"/>
          <c:order val="1"/>
          <c:tx>
            <c:strRef>
              <c:f>Pivot_PromoPerf!$C$3:$C$4</c:f>
              <c:strCache>
                <c:ptCount val="1"/>
                <c:pt idx="0">
                  <c:v>1</c:v>
                </c:pt>
              </c:strCache>
            </c:strRef>
          </c:tx>
          <c:spPr>
            <a:solidFill>
              <a:schemeClr val="accent2"/>
            </a:solidFill>
            <a:ln>
              <a:noFill/>
            </a:ln>
            <a:effectLst/>
          </c:spPr>
          <c:invertIfNegative val="0"/>
          <c:cat>
            <c:strRef>
              <c:f>Pivot_PromoPerf!$A$5:$A$10</c:f>
              <c:strCache>
                <c:ptCount val="5"/>
                <c:pt idx="0">
                  <c:v>1</c:v>
                </c:pt>
                <c:pt idx="1">
                  <c:v>2</c:v>
                </c:pt>
                <c:pt idx="2">
                  <c:v>3</c:v>
                </c:pt>
                <c:pt idx="3">
                  <c:v>4</c:v>
                </c:pt>
                <c:pt idx="4">
                  <c:v>5</c:v>
                </c:pt>
              </c:strCache>
            </c:strRef>
          </c:cat>
          <c:val>
            <c:numRef>
              <c:f>Pivot_PromoPerf!$C$5:$C$10</c:f>
              <c:numCache>
                <c:formatCode>General</c:formatCode>
                <c:ptCount val="5"/>
                <c:pt idx="0">
                  <c:v>2</c:v>
                </c:pt>
                <c:pt idx="1">
                  <c:v>1</c:v>
                </c:pt>
                <c:pt idx="2">
                  <c:v>2</c:v>
                </c:pt>
                <c:pt idx="3">
                  <c:v>1</c:v>
                </c:pt>
                <c:pt idx="4">
                  <c:v>1</c:v>
                </c:pt>
              </c:numCache>
            </c:numRef>
          </c:val>
          <c:extLst>
            <c:ext xmlns:c16="http://schemas.microsoft.com/office/drawing/2014/chart" uri="{C3380CC4-5D6E-409C-BE32-E72D297353CC}">
              <c16:uniqueId val="{00000003-0657-4ED5-A2A3-497CF7988966}"/>
            </c:ext>
          </c:extLst>
        </c:ser>
        <c:dLbls>
          <c:showLegendKey val="0"/>
          <c:showVal val="0"/>
          <c:showCatName val="0"/>
          <c:showSerName val="0"/>
          <c:showPercent val="0"/>
          <c:showBubbleSize val="0"/>
        </c:dLbls>
        <c:gapWidth val="150"/>
        <c:overlap val="100"/>
        <c:axId val="1043544783"/>
        <c:axId val="1043058095"/>
      </c:barChart>
      <c:catAx>
        <c:axId val="104354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058095"/>
        <c:crosses val="autoZero"/>
        <c:auto val="1"/>
        <c:lblAlgn val="ctr"/>
        <c:lblOffset val="100"/>
        <c:noMultiLvlLbl val="0"/>
      </c:catAx>
      <c:valAx>
        <c:axId val="104305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4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[HR_Employee_PerformanceFinal.xlsx]Pivot_Attendance!PivotTable1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0" i="0" baseline="0">
                <a:effectLst/>
              </a:rPr>
              <a:t>Attendance by Dept </a:t>
            </a:r>
            <a:endParaRPr lang="en-IN">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col"/>
        <c:grouping val="clustered"/>
        <c:varyColors val="0"/>
        <c:ser>
          <c:idx val="0"/>
          <c:order val="0"/>
          <c:tx>
            <c:strRef>
              <c:f>Pivot_Attendance!$B$3</c:f>
              <c:strCache>
                <c:ptCount val="1"/>
                <c:pt idx="0">
                  <c:v>Total</c:v>
                </c:pt>
              </c:strCache>
            </c:strRef>
          </c:tx>
          <c:spPr>
            <a:solidFill>
              <a:schemeClr val="accent1"/>
            </a:solidFill>
            <a:ln>
              <a:noFill/>
            </a:ln>
            <a:effectLst/>
          </c:spPr>
          <c:invertIfNegative val="0"/>
          <c:cat>
            <c:strRef>
              <c:f>Pivot_Attendance!$A$4:$A$9</c:f>
              <c:strCache>
                <c:ptCount val="5"/>
                <c:pt idx="0">
                  <c:v>Finance</c:v>
                </c:pt>
                <c:pt idx="1">
                  <c:v>HR</c:v>
                </c:pt>
                <c:pt idx="2">
                  <c:v>IT</c:v>
                </c:pt>
                <c:pt idx="3">
                  <c:v>Marketing</c:v>
                </c:pt>
                <c:pt idx="4">
                  <c:v>Sales</c:v>
                </c:pt>
              </c:strCache>
            </c:strRef>
          </c:cat>
          <c:val>
            <c:numRef>
              <c:f>Pivot_Attendance!$B$4:$B$9</c:f>
              <c:numCache>
                <c:formatCode>0.00%</c:formatCode>
                <c:ptCount val="5"/>
                <c:pt idx="0">
                  <c:v>0.77799999999999991</c:v>
                </c:pt>
                <c:pt idx="1">
                  <c:v>0.81500000000000006</c:v>
                </c:pt>
                <c:pt idx="2">
                  <c:v>0.76857142857142868</c:v>
                </c:pt>
                <c:pt idx="3">
                  <c:v>0.7569999999999999</c:v>
                </c:pt>
                <c:pt idx="4">
                  <c:v>0.80384615384615365</c:v>
                </c:pt>
              </c:numCache>
            </c:numRef>
          </c:val>
          <c:extLst>
            <c:ext xmlns:c16="http://schemas.microsoft.com/office/drawing/2014/chart" uri="{C3380CC4-5D6E-409C-BE32-E72D297353CC}">
              <c16:uniqueId val="{00000000-74E8-4C0F-99CB-E2D2697CAA84}"/>
            </c:ext>
          </c:extLst>
        </c:ser>
        <c:dLbls>
          <c:showLegendKey val="0"/>
          <c:showVal val="0"/>
          <c:showCatName val="0"/>
          <c:showSerName val="0"/>
          <c:showPercent val="0"/>
          <c:showBubbleSize val="0"/>
        </c:dLbls>
        <c:gapWidth val="219"/>
        <c:overlap val="-27"/>
        <c:axId val="965988975"/>
        <c:axId val="968007151"/>
      </c:barChart>
      <c:catAx>
        <c:axId val="96598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007151"/>
        <c:crosses val="autoZero"/>
        <c:auto val="1"/>
        <c:lblAlgn val="ctr"/>
        <c:lblOffset val="100"/>
        <c:noMultiLvlLbl val="0"/>
      </c:catAx>
      <c:valAx>
        <c:axId val="968007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98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[HR_Employee_PerformanceFinal.xlsx]Pivot_Bar!PivotTable2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Performance by Dept</a:t>
            </a:r>
            <a:endParaRPr lang="en-IN"/>
          </a:p>
        </c:rich>
      </c:tx>
      <c:layout>
        <c:manualLayout>
          <c:xMode val="edge"/>
          <c:yMode val="edge"/>
          <c:x val="0.41601733339559721"/>
          <c:y val="0.123689724774329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Pivot_Bar!$B$3</c:f>
              <c:strCache>
                <c:ptCount val="1"/>
                <c:pt idx="0">
                  <c:v>Total</c:v>
                </c:pt>
              </c:strCache>
            </c:strRef>
          </c:tx>
          <c:spPr>
            <a:solidFill>
              <a:schemeClr val="accent1"/>
            </a:solidFill>
            <a:ln>
              <a:noFill/>
            </a:ln>
            <a:effectLst/>
            <a:sp3d/>
          </c:spPr>
          <c:invertIfNegative val="0"/>
          <c:cat>
            <c:strRef>
              <c:f>Pivot_Bar!$A$4:$A$9</c:f>
              <c:strCache>
                <c:ptCount val="5"/>
                <c:pt idx="0">
                  <c:v>Finance</c:v>
                </c:pt>
                <c:pt idx="1">
                  <c:v>HR</c:v>
                </c:pt>
                <c:pt idx="2">
                  <c:v>IT</c:v>
                </c:pt>
                <c:pt idx="3">
                  <c:v>Marketing</c:v>
                </c:pt>
                <c:pt idx="4">
                  <c:v>Sales</c:v>
                </c:pt>
              </c:strCache>
            </c:strRef>
          </c:cat>
          <c:val>
            <c:numRef>
              <c:f>Pivot_Bar!$B$4:$B$9</c:f>
              <c:numCache>
                <c:formatCode>General</c:formatCode>
                <c:ptCount val="5"/>
                <c:pt idx="0">
                  <c:v>33</c:v>
                </c:pt>
                <c:pt idx="1">
                  <c:v>26</c:v>
                </c:pt>
                <c:pt idx="2">
                  <c:v>24</c:v>
                </c:pt>
                <c:pt idx="3">
                  <c:v>30</c:v>
                </c:pt>
                <c:pt idx="4">
                  <c:v>38</c:v>
                </c:pt>
              </c:numCache>
            </c:numRef>
          </c:val>
          <c:extLst>
            <c:ext xmlns:c16="http://schemas.microsoft.com/office/drawing/2014/chart" uri="{C3380CC4-5D6E-409C-BE32-E72D297353CC}">
              <c16:uniqueId val="{00000000-A400-4156-9D3B-41871196E959}"/>
            </c:ext>
          </c:extLst>
        </c:ser>
        <c:dLbls>
          <c:showLegendKey val="0"/>
          <c:showVal val="0"/>
          <c:showCatName val="0"/>
          <c:showSerName val="0"/>
          <c:showPercent val="0"/>
          <c:showBubbleSize val="0"/>
        </c:dLbls>
        <c:gapWidth val="150"/>
        <c:shape val="box"/>
        <c:axId val="1042371567"/>
        <c:axId val="962364751"/>
        <c:axId val="0"/>
      </c:bar3DChart>
      <c:catAx>
        <c:axId val="1042371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64751"/>
        <c:crosses val="autoZero"/>
        <c:auto val="1"/>
        <c:lblAlgn val="ctr"/>
        <c:lblOffset val="100"/>
        <c:noMultiLvlLbl val="0"/>
      </c:catAx>
      <c:valAx>
        <c:axId val="962364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37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[HR_Employee_PerformanceFinal.xlsx]Pivot_Attrition!PivotTable3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Attrition Pie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451612903225805E-2"/>
          <c:y val="0.31194711521283258"/>
          <c:w val="0.66330645161290325"/>
          <c:h val="0.65780079195373731"/>
        </c:manualLayout>
      </c:layout>
      <c:pie3DChart>
        <c:varyColors val="1"/>
        <c:ser>
          <c:idx val="0"/>
          <c:order val="0"/>
          <c:tx>
            <c:strRef>
              <c:f>Pivot_Attrition!$B$3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6CF-47AA-917D-DE4ABF1D95B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6CF-47AA-917D-DE4ABF1D95BB}"/>
              </c:ext>
            </c:extLst>
          </c:dPt>
          <c:cat>
            <c:strRef>
              <c:f>Pivot_Attrition!$A$4:$A$6</c:f>
              <c:strCache>
                <c:ptCount val="2"/>
                <c:pt idx="0">
                  <c:v>No</c:v>
                </c:pt>
                <c:pt idx="1">
                  <c:v>Yes</c:v>
                </c:pt>
              </c:strCache>
            </c:strRef>
          </c:cat>
          <c:val>
            <c:numRef>
              <c:f>Pivot_Attrition!$B$4:$B$6</c:f>
              <c:numCache>
                <c:formatCode>General</c:formatCode>
                <c:ptCount val="2"/>
                <c:pt idx="0">
                  <c:v>41</c:v>
                </c:pt>
                <c:pt idx="1">
                  <c:v>9</c:v>
                </c:pt>
              </c:numCache>
            </c:numRef>
          </c:val>
          <c:extLst>
            <c:ext xmlns:c16="http://schemas.microsoft.com/office/drawing/2014/chart" uri="{C3380CC4-5D6E-409C-BE32-E72D297353CC}">
              <c16:uniqueId val="{00000004-46CF-47AA-917D-DE4ABF1D95B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[HR_Employee_PerformanceFinal.xlsx]Pivot_PromoPerf!PivotTable4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Promotion vs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col"/>
        <c:grouping val="stacked"/>
        <c:varyColors val="0"/>
        <c:ser>
          <c:idx val="0"/>
          <c:order val="0"/>
          <c:tx>
            <c:strRef>
              <c:f>Pivot_PromoPerf!$B$3:$B$4</c:f>
              <c:strCache>
                <c:ptCount val="1"/>
                <c:pt idx="0">
                  <c:v>0</c:v>
                </c:pt>
              </c:strCache>
            </c:strRef>
          </c:tx>
          <c:spPr>
            <a:solidFill>
              <a:schemeClr val="accent1"/>
            </a:solidFill>
            <a:ln>
              <a:noFill/>
            </a:ln>
            <a:effectLst/>
          </c:spPr>
          <c:invertIfNegative val="0"/>
          <c:cat>
            <c:strRef>
              <c:f>Pivot_PromoPerf!$A$5:$A$10</c:f>
              <c:strCache>
                <c:ptCount val="5"/>
                <c:pt idx="0">
                  <c:v>1</c:v>
                </c:pt>
                <c:pt idx="1">
                  <c:v>2</c:v>
                </c:pt>
                <c:pt idx="2">
                  <c:v>3</c:v>
                </c:pt>
                <c:pt idx="3">
                  <c:v>4</c:v>
                </c:pt>
                <c:pt idx="4">
                  <c:v>5</c:v>
                </c:pt>
              </c:strCache>
            </c:strRef>
          </c:cat>
          <c:val>
            <c:numRef>
              <c:f>Pivot_PromoPerf!$B$5:$B$10</c:f>
              <c:numCache>
                <c:formatCode>General</c:formatCode>
                <c:ptCount val="5"/>
                <c:pt idx="0">
                  <c:v>3</c:v>
                </c:pt>
                <c:pt idx="1">
                  <c:v>7</c:v>
                </c:pt>
                <c:pt idx="2">
                  <c:v>18</c:v>
                </c:pt>
                <c:pt idx="3">
                  <c:v>14</c:v>
                </c:pt>
                <c:pt idx="4">
                  <c:v>1</c:v>
                </c:pt>
              </c:numCache>
            </c:numRef>
          </c:val>
          <c:extLst>
            <c:ext xmlns:c16="http://schemas.microsoft.com/office/drawing/2014/chart" uri="{C3380CC4-5D6E-409C-BE32-E72D297353CC}">
              <c16:uniqueId val="{00000000-8819-45E0-8156-CC6F325A7DB0}"/>
            </c:ext>
          </c:extLst>
        </c:ser>
        <c:ser>
          <c:idx val="1"/>
          <c:order val="1"/>
          <c:tx>
            <c:strRef>
              <c:f>Pivot_PromoPerf!$C$3:$C$4</c:f>
              <c:strCache>
                <c:ptCount val="1"/>
                <c:pt idx="0">
                  <c:v>1</c:v>
                </c:pt>
              </c:strCache>
            </c:strRef>
          </c:tx>
          <c:spPr>
            <a:solidFill>
              <a:schemeClr val="accent2"/>
            </a:solidFill>
            <a:ln>
              <a:noFill/>
            </a:ln>
            <a:effectLst/>
          </c:spPr>
          <c:invertIfNegative val="0"/>
          <c:cat>
            <c:strRef>
              <c:f>Pivot_PromoPerf!$A$5:$A$10</c:f>
              <c:strCache>
                <c:ptCount val="5"/>
                <c:pt idx="0">
                  <c:v>1</c:v>
                </c:pt>
                <c:pt idx="1">
                  <c:v>2</c:v>
                </c:pt>
                <c:pt idx="2">
                  <c:v>3</c:v>
                </c:pt>
                <c:pt idx="3">
                  <c:v>4</c:v>
                </c:pt>
                <c:pt idx="4">
                  <c:v>5</c:v>
                </c:pt>
              </c:strCache>
            </c:strRef>
          </c:cat>
          <c:val>
            <c:numRef>
              <c:f>Pivot_PromoPerf!$C$5:$C$10</c:f>
              <c:numCache>
                <c:formatCode>General</c:formatCode>
                <c:ptCount val="5"/>
                <c:pt idx="0">
                  <c:v>2</c:v>
                </c:pt>
                <c:pt idx="1">
                  <c:v>1</c:v>
                </c:pt>
                <c:pt idx="2">
                  <c:v>2</c:v>
                </c:pt>
                <c:pt idx="3">
                  <c:v>1</c:v>
                </c:pt>
                <c:pt idx="4">
                  <c:v>1</c:v>
                </c:pt>
              </c:numCache>
            </c:numRef>
          </c:val>
          <c:extLst>
            <c:ext xmlns:c16="http://schemas.microsoft.com/office/drawing/2014/chart" uri="{C3380CC4-5D6E-409C-BE32-E72D297353CC}">
              <c16:uniqueId val="{00000003-8819-45E0-8156-CC6F325A7DB0}"/>
            </c:ext>
          </c:extLst>
        </c:ser>
        <c:dLbls>
          <c:showLegendKey val="0"/>
          <c:showVal val="0"/>
          <c:showCatName val="0"/>
          <c:showSerName val="0"/>
          <c:showPercent val="0"/>
          <c:showBubbleSize val="0"/>
        </c:dLbls>
        <c:gapWidth val="150"/>
        <c:overlap val="100"/>
        <c:axId val="1043544783"/>
        <c:axId val="1043058095"/>
      </c:barChart>
      <c:catAx>
        <c:axId val="104354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058095"/>
        <c:crosses val="autoZero"/>
        <c:auto val="1"/>
        <c:lblAlgn val="ctr"/>
        <c:lblOffset val="100"/>
        <c:noMultiLvlLbl val="0"/>
      </c:catAx>
      <c:valAx>
        <c:axId val="1043058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54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19050</xdr:rowOff>
    </xdr:from>
    <xdr:to>
      <xdr:col>5</xdr:col>
      <xdr:colOff>12700</xdr:colOff>
      <xdr:row>25</xdr:row>
      <xdr:rowOff>0</xdr:rowOff>
    </xdr:to>
    <xdr:graphicFrame macro="">
      <xdr:nvGraphicFramePr>
        <xdr:cNvPr id="2" name="Chart 1">
          <a:extLst>
            <a:ext uri="{FF2B5EF4-FFF2-40B4-BE49-F238E27FC236}">
              <a16:creationId xmlns:a16="http://schemas.microsoft.com/office/drawing/2014/main" id="{AD190496-DC80-4ADA-A56B-B8F239FC1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244475</xdr:colOff>
      <xdr:row>4</xdr:row>
      <xdr:rowOff>171450</xdr:rowOff>
    </xdr:from>
    <xdr:to>
      <xdr:col>9</xdr:col>
      <xdr:colOff>549275</xdr:colOff>
      <xdr:row>19</xdr:row>
      <xdr:rowOff>152400</xdr:rowOff>
    </xdr:to>
    <xdr:graphicFrame macro="">
      <xdr:nvGraphicFramePr>
        <xdr:cNvPr id="2" name="Chart 1">
          <a:extLst>
            <a:ext uri="{FF2B5EF4-FFF2-40B4-BE49-F238E27FC236}">
              <a16:creationId xmlns:a16="http://schemas.microsoft.com/office/drawing/2014/main" id="{023CBC53-1A56-40BC-9A2E-1B744E34E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339725</xdr:colOff>
      <xdr:row>3</xdr:row>
      <xdr:rowOff>120650</xdr:rowOff>
    </xdr:from>
    <xdr:to>
      <xdr:col>10</xdr:col>
      <xdr:colOff>34925</xdr:colOff>
      <xdr:row>18</xdr:row>
      <xdr:rowOff>101600</xdr:rowOff>
    </xdr:to>
    <xdr:graphicFrame macro="">
      <xdr:nvGraphicFramePr>
        <xdr:cNvPr id="2" name="Chart 1">
          <a:extLst>
            <a:ext uri="{FF2B5EF4-FFF2-40B4-BE49-F238E27FC236}">
              <a16:creationId xmlns:a16="http://schemas.microsoft.com/office/drawing/2014/main" id="{6D627C26-34CA-4059-8F78-194FD4B23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238125</xdr:colOff>
      <xdr:row>4</xdr:row>
      <xdr:rowOff>95250</xdr:rowOff>
    </xdr:from>
    <xdr:to>
      <xdr:col>11</xdr:col>
      <xdr:colOff>542925</xdr:colOff>
      <xdr:row>19</xdr:row>
      <xdr:rowOff>76200</xdr:rowOff>
    </xdr:to>
    <xdr:graphicFrame macro="">
      <xdr:nvGraphicFramePr>
        <xdr:cNvPr id="2" name="Chart 1">
          <a:extLst>
            <a:ext uri="{FF2B5EF4-FFF2-40B4-BE49-F238E27FC236}">
              <a16:creationId xmlns:a16="http://schemas.microsoft.com/office/drawing/2014/main" id="{00E22171-C971-4D3E-801E-E71FB6E2C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6</xdr:col>
      <xdr:colOff>539750</xdr:colOff>
      <xdr:row>16</xdr:row>
      <xdr:rowOff>165100</xdr:rowOff>
    </xdr:to>
    <xdr:graphicFrame macro="">
      <xdr:nvGraphicFramePr>
        <xdr:cNvPr id="3" name="Chart 2">
          <a:extLst>
            <a:ext uri="{FF2B5EF4-FFF2-40B4-BE49-F238E27FC236}">
              <a16:creationId xmlns:a16="http://schemas.microsoft.com/office/drawing/2014/main" id="{33A1F3AC-6D16-4C68-B5D8-089BDBB41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xdr:row>
      <xdr:rowOff>0</xdr:rowOff>
    </xdr:from>
    <xdr:to>
      <xdr:col>14</xdr:col>
      <xdr:colOff>304800</xdr:colOff>
      <xdr:row>16</xdr:row>
      <xdr:rowOff>165100</xdr:rowOff>
    </xdr:to>
    <xdr:graphicFrame macro="">
      <xdr:nvGraphicFramePr>
        <xdr:cNvPr id="4" name="Chart 3">
          <a:extLst>
            <a:ext uri="{FF2B5EF4-FFF2-40B4-BE49-F238E27FC236}">
              <a16:creationId xmlns:a16="http://schemas.microsoft.com/office/drawing/2014/main" id="{5E7902B0-2363-4968-9553-7505BF832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9</xdr:rowOff>
    </xdr:from>
    <xdr:to>
      <xdr:col>6</xdr:col>
      <xdr:colOff>539750</xdr:colOff>
      <xdr:row>32</xdr:row>
      <xdr:rowOff>165109</xdr:rowOff>
    </xdr:to>
    <xdr:graphicFrame macro="">
      <xdr:nvGraphicFramePr>
        <xdr:cNvPr id="5" name="Chart 4">
          <a:extLst>
            <a:ext uri="{FF2B5EF4-FFF2-40B4-BE49-F238E27FC236}">
              <a16:creationId xmlns:a16="http://schemas.microsoft.com/office/drawing/2014/main" id="{1F7715AD-6C9D-43CF-8BA0-0E4AC05AA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18</xdr:row>
      <xdr:rowOff>0</xdr:rowOff>
    </xdr:from>
    <xdr:to>
      <xdr:col>14</xdr:col>
      <xdr:colOff>317500</xdr:colOff>
      <xdr:row>33</xdr:row>
      <xdr:rowOff>21771</xdr:rowOff>
    </xdr:to>
    <xdr:graphicFrame macro="">
      <xdr:nvGraphicFramePr>
        <xdr:cNvPr id="6" name="Chart 5">
          <a:extLst>
            <a:ext uri="{FF2B5EF4-FFF2-40B4-BE49-F238E27FC236}">
              <a16:creationId xmlns:a16="http://schemas.microsoft.com/office/drawing/2014/main" id="{EC8BECED-2775-41FF-8453-F1484365D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xdr:colOff>
      <xdr:row>12</xdr:row>
      <xdr:rowOff>10584</xdr:rowOff>
    </xdr:from>
    <xdr:to>
      <xdr:col>7</xdr:col>
      <xdr:colOff>31750</xdr:colOff>
      <xdr:row>26</xdr:row>
      <xdr:rowOff>10584</xdr:rowOff>
    </xdr:to>
    <xdr:graphicFrame macro="">
      <xdr:nvGraphicFramePr>
        <xdr:cNvPr id="2" name="Chart 1">
          <a:extLst>
            <a:ext uri="{FF2B5EF4-FFF2-40B4-BE49-F238E27FC236}">
              <a16:creationId xmlns:a16="http://schemas.microsoft.com/office/drawing/2014/main" id="{C27E057A-8C96-4765-BF38-2C235DF6C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xdr:colOff>
      <xdr:row>26</xdr:row>
      <xdr:rowOff>169333</xdr:rowOff>
    </xdr:from>
    <xdr:to>
      <xdr:col>7</xdr:col>
      <xdr:colOff>31751</xdr:colOff>
      <xdr:row>39</xdr:row>
      <xdr:rowOff>169334</xdr:rowOff>
    </xdr:to>
    <xdr:graphicFrame macro="">
      <xdr:nvGraphicFramePr>
        <xdr:cNvPr id="3" name="Chart 2">
          <a:extLst>
            <a:ext uri="{FF2B5EF4-FFF2-40B4-BE49-F238E27FC236}">
              <a16:creationId xmlns:a16="http://schemas.microsoft.com/office/drawing/2014/main" id="{8582F3FD-159C-4459-86D3-3FE9D74CA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793750</xdr:colOff>
      <xdr:row>12</xdr:row>
      <xdr:rowOff>10583</xdr:rowOff>
    </xdr:from>
    <xdr:to>
      <xdr:col>12</xdr:col>
      <xdr:colOff>677334</xdr:colOff>
      <xdr:row>26</xdr:row>
      <xdr:rowOff>10583</xdr:rowOff>
    </xdr:to>
    <xdr:graphicFrame macro="">
      <xdr:nvGraphicFramePr>
        <xdr:cNvPr id="4" name="Chart 3">
          <a:extLst>
            <a:ext uri="{FF2B5EF4-FFF2-40B4-BE49-F238E27FC236}">
              <a16:creationId xmlns:a16="http://schemas.microsoft.com/office/drawing/2014/main" id="{B48ADE62-DE87-4D18-9134-83102D4A7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10582</xdr:colOff>
      <xdr:row>26</xdr:row>
      <xdr:rowOff>169332</xdr:rowOff>
    </xdr:from>
    <xdr:to>
      <xdr:col>13</xdr:col>
      <xdr:colOff>21166</xdr:colOff>
      <xdr:row>39</xdr:row>
      <xdr:rowOff>169333</xdr:rowOff>
    </xdr:to>
    <xdr:graphicFrame macro="">
      <xdr:nvGraphicFramePr>
        <xdr:cNvPr id="5" name="Chart 4">
          <a:extLst>
            <a:ext uri="{FF2B5EF4-FFF2-40B4-BE49-F238E27FC236}">
              <a16:creationId xmlns:a16="http://schemas.microsoft.com/office/drawing/2014/main" id="{DE1ECCC3-09CF-48CF-8063-53D51F89A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10584</xdr:colOff>
      <xdr:row>21</xdr:row>
      <xdr:rowOff>6348</xdr:rowOff>
    </xdr:from>
    <xdr:to>
      <xdr:col>17</xdr:col>
      <xdr:colOff>10584</xdr:colOff>
      <xdr:row>32</xdr:row>
      <xdr:rowOff>169333</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1AB6C5D2-438A-4F5C-8BD1-3FF8BB45351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234084" y="4215491"/>
              <a:ext cx="1823357" cy="215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10584</xdr:colOff>
      <xdr:row>12</xdr:row>
      <xdr:rowOff>6351</xdr:rowOff>
    </xdr:from>
    <xdr:to>
      <xdr:col>17</xdr:col>
      <xdr:colOff>10584</xdr:colOff>
      <xdr:row>19</xdr:row>
      <xdr:rowOff>6350</xdr:rowOff>
    </xdr:to>
    <mc:AlternateContent xmlns:mc="http://schemas.openxmlformats.org/markup-compatibility/2006" xmlns:a14="http://schemas.microsoft.com/office/drawing/2010/main">
      <mc:Choice Requires="a14">
        <xdr:graphicFrame macro="">
          <xdr:nvGraphicFramePr>
            <xdr:cNvPr id="7" name="Promotions">
              <a:extLst>
                <a:ext uri="{FF2B5EF4-FFF2-40B4-BE49-F238E27FC236}">
                  <a16:creationId xmlns:a16="http://schemas.microsoft.com/office/drawing/2014/main" id="{76E42FF7-B594-467A-BADB-0E7A1F1A2457}"/>
                </a:ext>
              </a:extLst>
            </xdr:cNvPr>
            <xdr:cNvGraphicFramePr/>
          </xdr:nvGraphicFramePr>
          <xdr:xfrm>
            <a:off x="0" y="0"/>
            <a:ext cx="0" cy="0"/>
          </xdr:xfrm>
          <a:graphic>
            <a:graphicData uri="http://schemas.microsoft.com/office/drawing/2010/slicer">
              <sle:slicer xmlns:sle="http://schemas.microsoft.com/office/drawing/2010/slicer" name="Promotions"/>
            </a:graphicData>
          </a:graphic>
        </xdr:graphicFrame>
      </mc:Choice>
      <mc:Fallback xmlns="">
        <xdr:sp macro="" textlink="">
          <xdr:nvSpPr>
            <xdr:cNvPr id="0" name=""/>
            <xdr:cNvSpPr>
              <a:spLocks noTextEdit="1"/>
            </xdr:cNvSpPr>
          </xdr:nvSpPr>
          <xdr:spPr>
            <a:xfrm>
              <a:off x="10234084" y="2582637"/>
              <a:ext cx="1823357" cy="1269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10585</xdr:colOff>
      <xdr:row>5</xdr:row>
      <xdr:rowOff>8467</xdr:rowOff>
    </xdr:from>
    <xdr:to>
      <xdr:col>17</xdr:col>
      <xdr:colOff>10585</xdr:colOff>
      <xdr:row>10</xdr:row>
      <xdr:rowOff>-1</xdr:rowOff>
    </xdr:to>
    <mc:AlternateContent xmlns:mc="http://schemas.openxmlformats.org/markup-compatibility/2006" xmlns:a14="http://schemas.microsoft.com/office/drawing/2010/main">
      <mc:Choice Requires="a14">
        <xdr:graphicFrame macro="">
          <xdr:nvGraphicFramePr>
            <xdr:cNvPr id="8" name="Attrition">
              <a:extLst>
                <a:ext uri="{FF2B5EF4-FFF2-40B4-BE49-F238E27FC236}">
                  <a16:creationId xmlns:a16="http://schemas.microsoft.com/office/drawing/2014/main" id="{89C2E499-DD90-4631-83CB-23F4DDD8BE0C}"/>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0234085" y="1314753"/>
              <a:ext cx="1823357" cy="898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18142</xdr:colOff>
      <xdr:row>1</xdr:row>
      <xdr:rowOff>9072</xdr:rowOff>
    </xdr:from>
    <xdr:ext cx="10196287" cy="800219"/>
    <xdr:sp macro="" textlink="">
      <xdr:nvSpPr>
        <xdr:cNvPr id="9" name="TextBox 8">
          <a:extLst>
            <a:ext uri="{FF2B5EF4-FFF2-40B4-BE49-F238E27FC236}">
              <a16:creationId xmlns:a16="http://schemas.microsoft.com/office/drawing/2014/main" id="{7A2D2EB4-9601-465E-8210-C370FB6A259D}"/>
            </a:ext>
          </a:extLst>
        </xdr:cNvPr>
        <xdr:cNvSpPr txBox="1"/>
      </xdr:nvSpPr>
      <xdr:spPr>
        <a:xfrm>
          <a:off x="1233713" y="589643"/>
          <a:ext cx="10196287" cy="8002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a:latin typeface="Arial" panose="020B0604020202020204" pitchFamily="34" charset="0"/>
              <a:cs typeface="Arial" panose="020B0604020202020204" pitchFamily="34" charset="0"/>
            </a:rPr>
            <a:t>“Sales dept has highest avg performance (4.2) but attendance is only 78% → consider engagement program.”</a:t>
          </a:r>
        </a:p>
        <a:p>
          <a:r>
            <a:rPr lang="en-IN" sz="1600">
              <a:latin typeface="Arial" panose="020B0604020202020204" pitchFamily="34" charset="0"/>
              <a:cs typeface="Arial" panose="020B0604020202020204" pitchFamily="34" charset="0"/>
            </a:rPr>
            <a:t>“Attrition concentrated in IT (X%) — recommend exit interviews &amp; retention plan.”</a:t>
          </a:r>
        </a:p>
        <a:p>
          <a:endParaRPr lang="en-IN" sz="1600">
            <a:latin typeface="Arial" panose="020B0604020202020204" pitchFamily="34" charset="0"/>
            <a:cs typeface="Arial" panose="020B06040202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09.935432175924" createdVersion="6" refreshedVersion="6" minRefreshableVersion="3" recordCount="50" xr:uid="{0AB7860C-524D-4443-988E-A23FC0B5BFD6}">
  <cacheSource type="worksheet">
    <worksheetSource name="tblEmployees"/>
  </cacheSource>
  <cacheFields count="8">
    <cacheField name="Employee_ID" numFmtId="0">
      <sharedItems/>
    </cacheField>
    <cacheField name="Name" numFmtId="0">
      <sharedItems/>
    </cacheField>
    <cacheField name="Department" numFmtId="0">
      <sharedItems count="5">
        <s v="Sales"/>
        <s v="Marketing"/>
        <s v="Finance"/>
        <s v="HR"/>
        <s v="IT"/>
      </sharedItems>
    </cacheField>
    <cacheField name="Attendance" numFmtId="0">
      <sharedItems containsSemiMixedTypes="0" containsString="0" containsNumber="1" containsInteger="1" minValue="60" maxValue="99"/>
    </cacheField>
    <cacheField name="Performance_Rating" numFmtId="0">
      <sharedItems containsSemiMixedTypes="0" containsString="0" containsNumber="1" containsInteger="1" minValue="1" maxValue="5" count="5">
        <n v="4"/>
        <n v="3"/>
        <n v="1"/>
        <n v="2"/>
        <n v="5"/>
      </sharedItems>
    </cacheField>
    <cacheField name="Promotions" numFmtId="0">
      <sharedItems containsSemiMixedTypes="0" containsString="0" containsNumber="1" containsInteger="1" minValue="0" maxValue="1" count="2">
        <n v="0"/>
        <n v="1"/>
      </sharedItems>
    </cacheField>
    <cacheField name="Attrition" numFmtId="0">
      <sharedItems count="2">
        <s v="No"/>
        <s v="Yes"/>
      </sharedItems>
    </cacheField>
    <cacheField name="AttendancePct" numFmtId="0">
      <sharedItems containsSemiMixedTypes="0" containsString="0" containsNumber="1" minValue="0.6" maxValue="0.99"/>
    </cacheField>
  </cacheFields>
  <extLst>
    <ext xmlns:x14="http://schemas.microsoft.com/office/spreadsheetml/2009/9/main" uri="{725AE2AE-9491-48be-B2B4-4EB974FC3084}">
      <x14:pivotCacheDefinition pivotCacheId="1719250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E1000"/>
    <s v="Employee_1"/>
    <x v="0"/>
    <n v="87"/>
    <x v="0"/>
    <x v="0"/>
    <x v="0"/>
    <n v="0.87"/>
  </r>
  <r>
    <s v="E1001"/>
    <s v="Employee_2"/>
    <x v="1"/>
    <n v="66"/>
    <x v="1"/>
    <x v="0"/>
    <x v="1"/>
    <n v="0.66"/>
  </r>
  <r>
    <s v="E1002"/>
    <s v="Employee_3"/>
    <x v="2"/>
    <n v="67"/>
    <x v="1"/>
    <x v="0"/>
    <x v="0"/>
    <n v="0.67"/>
  </r>
  <r>
    <s v="E1003"/>
    <s v="Employee_4"/>
    <x v="1"/>
    <n v="94"/>
    <x v="2"/>
    <x v="0"/>
    <x v="0"/>
    <n v="0.94"/>
  </r>
  <r>
    <s v="E1004"/>
    <s v="Employee_5"/>
    <x v="1"/>
    <n v="73"/>
    <x v="1"/>
    <x v="1"/>
    <x v="0"/>
    <n v="0.73"/>
  </r>
  <r>
    <s v="E1005"/>
    <s v="Employee_6"/>
    <x v="3"/>
    <n v="76"/>
    <x v="1"/>
    <x v="0"/>
    <x v="0"/>
    <n v="0.76"/>
  </r>
  <r>
    <s v="E1006"/>
    <s v="Employee_7"/>
    <x v="2"/>
    <n v="95"/>
    <x v="0"/>
    <x v="0"/>
    <x v="0"/>
    <n v="0.95"/>
  </r>
  <r>
    <s v="E1007"/>
    <s v="Employee_8"/>
    <x v="2"/>
    <n v="99"/>
    <x v="1"/>
    <x v="0"/>
    <x v="0"/>
    <n v="0.99"/>
  </r>
  <r>
    <s v="E1008"/>
    <s v="Employee_9"/>
    <x v="2"/>
    <n v="63"/>
    <x v="0"/>
    <x v="0"/>
    <x v="0"/>
    <n v="0.63"/>
  </r>
  <r>
    <s v="E1009"/>
    <s v="Employee_10"/>
    <x v="1"/>
    <n v="61"/>
    <x v="1"/>
    <x v="1"/>
    <x v="0"/>
    <n v="0.61"/>
  </r>
  <r>
    <s v="E1010"/>
    <s v="Employee_11"/>
    <x v="0"/>
    <n v="65"/>
    <x v="3"/>
    <x v="1"/>
    <x v="1"/>
    <n v="0.65"/>
  </r>
  <r>
    <s v="E1011"/>
    <s v="Employee_12"/>
    <x v="2"/>
    <n v="63"/>
    <x v="0"/>
    <x v="0"/>
    <x v="0"/>
    <n v="0.63"/>
  </r>
  <r>
    <s v="E1012"/>
    <s v="Employee_13"/>
    <x v="1"/>
    <n v="88"/>
    <x v="0"/>
    <x v="0"/>
    <x v="0"/>
    <n v="0.88"/>
  </r>
  <r>
    <s v="E1013"/>
    <s v="Employee_14"/>
    <x v="3"/>
    <n v="77"/>
    <x v="1"/>
    <x v="0"/>
    <x v="0"/>
    <n v="0.77"/>
  </r>
  <r>
    <s v="E1014"/>
    <s v="Employee_15"/>
    <x v="0"/>
    <n v="85"/>
    <x v="0"/>
    <x v="0"/>
    <x v="0"/>
    <n v="0.85"/>
  </r>
  <r>
    <s v="E1015"/>
    <s v="Employee_16"/>
    <x v="3"/>
    <n v="93"/>
    <x v="1"/>
    <x v="0"/>
    <x v="0"/>
    <n v="0.93"/>
  </r>
  <r>
    <s v="E1016"/>
    <s v="Employee_17"/>
    <x v="0"/>
    <n v="69"/>
    <x v="1"/>
    <x v="0"/>
    <x v="0"/>
    <n v="0.69"/>
  </r>
  <r>
    <s v="E1017"/>
    <s v="Employee_18"/>
    <x v="1"/>
    <n v="95"/>
    <x v="1"/>
    <x v="0"/>
    <x v="0"/>
    <n v="0.95"/>
  </r>
  <r>
    <s v="E1018"/>
    <s v="Employee_19"/>
    <x v="4"/>
    <n v="73"/>
    <x v="2"/>
    <x v="0"/>
    <x v="0"/>
    <n v="0.73"/>
  </r>
  <r>
    <s v="E1019"/>
    <s v="Employee_20"/>
    <x v="0"/>
    <n v="90"/>
    <x v="3"/>
    <x v="0"/>
    <x v="0"/>
    <n v="0.9"/>
  </r>
  <r>
    <s v="E1020"/>
    <s v="Employee_21"/>
    <x v="3"/>
    <n v="74"/>
    <x v="2"/>
    <x v="1"/>
    <x v="0"/>
    <n v="0.74"/>
  </r>
  <r>
    <s v="E1021"/>
    <s v="Employee_22"/>
    <x v="1"/>
    <n v="67"/>
    <x v="1"/>
    <x v="0"/>
    <x v="1"/>
    <n v="0.67"/>
  </r>
  <r>
    <s v="E1022"/>
    <s v="Employee_23"/>
    <x v="0"/>
    <n v="73"/>
    <x v="1"/>
    <x v="0"/>
    <x v="1"/>
    <n v="0.73"/>
  </r>
  <r>
    <s v="E1023"/>
    <s v="Employee_24"/>
    <x v="4"/>
    <n v="82"/>
    <x v="1"/>
    <x v="0"/>
    <x v="0"/>
    <n v="0.82"/>
  </r>
  <r>
    <s v="E1024"/>
    <s v="Employee_25"/>
    <x v="4"/>
    <n v="99"/>
    <x v="4"/>
    <x v="1"/>
    <x v="0"/>
    <n v="0.99"/>
  </r>
  <r>
    <s v="E1025"/>
    <s v="Employee_26"/>
    <x v="2"/>
    <n v="80"/>
    <x v="3"/>
    <x v="0"/>
    <x v="1"/>
    <n v="0.8"/>
  </r>
  <r>
    <s v="E1026"/>
    <s v="Employee_27"/>
    <x v="2"/>
    <n v="75"/>
    <x v="1"/>
    <x v="0"/>
    <x v="1"/>
    <n v="0.75"/>
  </r>
  <r>
    <s v="E1027"/>
    <s v="Employee_28"/>
    <x v="3"/>
    <n v="77"/>
    <x v="0"/>
    <x v="0"/>
    <x v="0"/>
    <n v="0.77"/>
  </r>
  <r>
    <s v="E1028"/>
    <s v="Employee_29"/>
    <x v="0"/>
    <n v="83"/>
    <x v="3"/>
    <x v="0"/>
    <x v="1"/>
    <n v="0.83"/>
  </r>
  <r>
    <s v="E1029"/>
    <s v="Employee_30"/>
    <x v="0"/>
    <n v="85"/>
    <x v="2"/>
    <x v="0"/>
    <x v="1"/>
    <n v="0.85"/>
  </r>
  <r>
    <s v="E1030"/>
    <s v="Employee_31"/>
    <x v="2"/>
    <n v="84"/>
    <x v="1"/>
    <x v="0"/>
    <x v="0"/>
    <n v="0.84"/>
  </r>
  <r>
    <s v="E1031"/>
    <s v="Employee_32"/>
    <x v="0"/>
    <n v="88"/>
    <x v="3"/>
    <x v="0"/>
    <x v="0"/>
    <n v="0.88"/>
  </r>
  <r>
    <s v="E1032"/>
    <s v="Employee_33"/>
    <x v="0"/>
    <n v="74"/>
    <x v="4"/>
    <x v="0"/>
    <x v="0"/>
    <n v="0.74"/>
  </r>
  <r>
    <s v="E1033"/>
    <s v="Employee_34"/>
    <x v="4"/>
    <n v="60"/>
    <x v="0"/>
    <x v="0"/>
    <x v="0"/>
    <n v="0.6"/>
  </r>
  <r>
    <s v="E1034"/>
    <s v="Employee_35"/>
    <x v="2"/>
    <n v="84"/>
    <x v="1"/>
    <x v="0"/>
    <x v="0"/>
    <n v="0.84"/>
  </r>
  <r>
    <s v="E1035"/>
    <s v="Employee_36"/>
    <x v="1"/>
    <n v="66"/>
    <x v="0"/>
    <x v="1"/>
    <x v="0"/>
    <n v="0.66"/>
  </r>
  <r>
    <s v="E1036"/>
    <s v="Employee_37"/>
    <x v="2"/>
    <n v="68"/>
    <x v="0"/>
    <x v="0"/>
    <x v="0"/>
    <n v="0.68"/>
  </r>
  <r>
    <s v="E1037"/>
    <s v="Employee_38"/>
    <x v="1"/>
    <n v="83"/>
    <x v="3"/>
    <x v="0"/>
    <x v="0"/>
    <n v="0.83"/>
  </r>
  <r>
    <s v="E1038"/>
    <s v="Employee_39"/>
    <x v="4"/>
    <n v="60"/>
    <x v="0"/>
    <x v="0"/>
    <x v="0"/>
    <n v="0.6"/>
  </r>
  <r>
    <s v="E1039"/>
    <s v="Employee_40"/>
    <x v="3"/>
    <n v="67"/>
    <x v="1"/>
    <x v="0"/>
    <x v="0"/>
    <n v="0.67"/>
  </r>
  <r>
    <s v="E1040"/>
    <s v="Employee_41"/>
    <x v="0"/>
    <n v="83"/>
    <x v="0"/>
    <x v="0"/>
    <x v="0"/>
    <n v="0.83"/>
  </r>
  <r>
    <s v="E1041"/>
    <s v="Employee_42"/>
    <x v="4"/>
    <n v="70"/>
    <x v="0"/>
    <x v="0"/>
    <x v="0"/>
    <n v="0.7"/>
  </r>
  <r>
    <s v="E1042"/>
    <s v="Employee_43"/>
    <x v="0"/>
    <n v="76"/>
    <x v="1"/>
    <x v="0"/>
    <x v="1"/>
    <n v="0.76"/>
  </r>
  <r>
    <s v="E1043"/>
    <s v="Employee_44"/>
    <x v="3"/>
    <n v="67"/>
    <x v="3"/>
    <x v="0"/>
    <x v="0"/>
    <n v="0.67"/>
  </r>
  <r>
    <s v="E1044"/>
    <s v="Employee_45"/>
    <x v="3"/>
    <n v="94"/>
    <x v="3"/>
    <x v="0"/>
    <x v="0"/>
    <n v="0.94"/>
  </r>
  <r>
    <s v="E1045"/>
    <s v="Employee_46"/>
    <x v="4"/>
    <n v="94"/>
    <x v="1"/>
    <x v="0"/>
    <x v="0"/>
    <n v="0.94"/>
  </r>
  <r>
    <s v="E1046"/>
    <s v="Employee_47"/>
    <x v="3"/>
    <n v="92"/>
    <x v="0"/>
    <x v="0"/>
    <x v="0"/>
    <n v="0.92"/>
  </r>
  <r>
    <s v="E1047"/>
    <s v="Employee_48"/>
    <x v="1"/>
    <n v="64"/>
    <x v="0"/>
    <x v="0"/>
    <x v="0"/>
    <n v="0.64"/>
  </r>
  <r>
    <s v="E1048"/>
    <s v="Employee_49"/>
    <x v="3"/>
    <n v="98"/>
    <x v="2"/>
    <x v="1"/>
    <x v="0"/>
    <n v="0.98"/>
  </r>
  <r>
    <s v="E1049"/>
    <s v="Employee_50"/>
    <x v="0"/>
    <n v="87"/>
    <x v="1"/>
    <x v="0"/>
    <x v="0"/>
    <n v="0.8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390931-C218-427A-91C6-2ACE9AE4AF9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9" firstHeaderRow="1" firstDataRow="1" firstDataCol="1"/>
  <pivotFields count="8">
    <pivotField showAll="0"/>
    <pivotField showAll="0"/>
    <pivotField axis="axisRow" showAll="0">
      <items count="6">
        <item x="2"/>
        <item x="3"/>
        <item x="4"/>
        <item x="1"/>
        <item x="0"/>
        <item t="default"/>
      </items>
    </pivotField>
    <pivotField showAll="0"/>
    <pivotField showAll="0"/>
    <pivotField showAll="0">
      <items count="3">
        <item x="0"/>
        <item x="1"/>
        <item t="default"/>
      </items>
    </pivotField>
    <pivotField showAll="0">
      <items count="3">
        <item x="0"/>
        <item x="1"/>
        <item t="default"/>
      </items>
    </pivotField>
    <pivotField dataField="1" showAll="0"/>
  </pivotFields>
  <rowFields count="1">
    <field x="2"/>
  </rowFields>
  <rowItems count="6">
    <i>
      <x/>
    </i>
    <i>
      <x v="1"/>
    </i>
    <i>
      <x v="2"/>
    </i>
    <i>
      <x v="3"/>
    </i>
    <i>
      <x v="4"/>
    </i>
    <i t="grand">
      <x/>
    </i>
  </rowItems>
  <colItems count="1">
    <i/>
  </colItems>
  <dataFields count="1">
    <dataField name="Average of AttendancePct" fld="7" subtotal="average" baseField="2" baseItem="0" numFmtId="10"/>
  </dataFields>
  <chartFormats count="3">
    <chartFormat chart="0"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92A145-E89E-4E9D-9865-0333522BE6E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9" firstHeaderRow="1" firstDataRow="1" firstDataCol="1"/>
  <pivotFields count="8">
    <pivotField showAll="0"/>
    <pivotField showAll="0"/>
    <pivotField axis="axisRow" showAll="0">
      <items count="6">
        <item x="2"/>
        <item x="3"/>
        <item x="4"/>
        <item x="1"/>
        <item x="0"/>
        <item t="default"/>
      </items>
    </pivotField>
    <pivotField showAll="0"/>
    <pivotField dataField="1" showAll="0"/>
    <pivotField showAll="0">
      <items count="3">
        <item x="0"/>
        <item x="1"/>
        <item t="default"/>
      </items>
    </pivotField>
    <pivotField showAll="0">
      <items count="3">
        <item x="0"/>
        <item x="1"/>
        <item t="default"/>
      </items>
    </pivotField>
    <pivotField showAll="0"/>
  </pivotFields>
  <rowFields count="1">
    <field x="2"/>
  </rowFields>
  <rowItems count="6">
    <i>
      <x/>
    </i>
    <i>
      <x v="1"/>
    </i>
    <i>
      <x v="2"/>
    </i>
    <i>
      <x v="3"/>
    </i>
    <i>
      <x v="4"/>
    </i>
    <i t="grand">
      <x/>
    </i>
  </rowItems>
  <colItems count="1">
    <i/>
  </colItems>
  <dataFields count="1">
    <dataField name="Sum of Performance_Rating" fld="4"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CD728E-FEF4-4795-BA89-154B1BE49643}"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6" firstHeaderRow="1" firstDataRow="1" firstDataCol="1"/>
  <pivotFields count="8">
    <pivotField dataField="1" showAll="0"/>
    <pivotField showAll="0"/>
    <pivotField showAll="0">
      <items count="6">
        <item x="2"/>
        <item x="3"/>
        <item x="4"/>
        <item x="1"/>
        <item x="0"/>
        <item t="default"/>
      </items>
    </pivotField>
    <pivotField showAll="0"/>
    <pivotField showAll="0"/>
    <pivotField showAll="0">
      <items count="3">
        <item x="0"/>
        <item x="1"/>
        <item t="default"/>
      </items>
    </pivotField>
    <pivotField axis="axisRow" showAll="0">
      <items count="3">
        <item x="0"/>
        <item x="1"/>
        <item t="default"/>
      </items>
    </pivotField>
    <pivotField showAll="0"/>
  </pivotFields>
  <rowFields count="1">
    <field x="6"/>
  </rowFields>
  <rowItems count="3">
    <i>
      <x/>
    </i>
    <i>
      <x v="1"/>
    </i>
    <i t="grand">
      <x/>
    </i>
  </rowItems>
  <colItems count="1">
    <i/>
  </colItems>
  <dataFields count="1">
    <dataField name="Count of Employee_ID" fld="0" subtotal="count" baseField="0" baseItem="0"/>
  </dataField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pivotArea type="data" outline="0" fieldPosition="0">
        <references count="2">
          <reference field="4294967294" count="1" selected="0">
            <x v="0"/>
          </reference>
          <reference field="6"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6" count="1" selected="0">
            <x v="0"/>
          </reference>
        </references>
      </pivotArea>
    </chartFormat>
    <chartFormat chart="6" format="12">
      <pivotArea type="data" outline="0" fieldPosition="0">
        <references count="2">
          <reference field="4294967294" count="1" selected="0">
            <x v="0"/>
          </reference>
          <reference field="6" count="1" selected="0">
            <x v="1"/>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52B9E8-D202-4782-B0C6-7E2A7B52D047}"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D10" firstHeaderRow="1" firstDataRow="2" firstDataCol="1"/>
  <pivotFields count="8">
    <pivotField dataField="1" showAll="0"/>
    <pivotField showAll="0"/>
    <pivotField showAll="0">
      <items count="6">
        <item x="2"/>
        <item x="3"/>
        <item x="4"/>
        <item x="1"/>
        <item x="0"/>
        <item t="default"/>
      </items>
    </pivotField>
    <pivotField showAll="0"/>
    <pivotField axis="axisRow" showAll="0">
      <items count="6">
        <item x="2"/>
        <item x="3"/>
        <item x="1"/>
        <item x="0"/>
        <item x="4"/>
        <item t="default"/>
      </items>
    </pivotField>
    <pivotField axis="axisCol" showAll="0">
      <items count="3">
        <item x="0"/>
        <item x="1"/>
        <item t="default"/>
      </items>
    </pivotField>
    <pivotField showAll="0">
      <items count="3">
        <item x="0"/>
        <item x="1"/>
        <item t="default"/>
      </items>
    </pivotField>
    <pivotField showAll="0"/>
  </pivotFields>
  <rowFields count="1">
    <field x="4"/>
  </rowFields>
  <rowItems count="6">
    <i>
      <x/>
    </i>
    <i>
      <x v="1"/>
    </i>
    <i>
      <x v="2"/>
    </i>
    <i>
      <x v="3"/>
    </i>
    <i>
      <x v="4"/>
    </i>
    <i t="grand">
      <x/>
    </i>
  </rowItems>
  <colFields count="1">
    <field x="5"/>
  </colFields>
  <colItems count="3">
    <i>
      <x/>
    </i>
    <i>
      <x v="1"/>
    </i>
    <i t="grand">
      <x/>
    </i>
  </colItems>
  <dataFields count="1">
    <dataField name="Count of Employee_ID" fld="0" subtotal="count" baseField="0" baseItem="0"/>
  </dataField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0"/>
          </reference>
        </references>
      </pivotArea>
    </chartFormat>
    <chartFormat chart="6" format="9" series="1">
      <pivotArea type="data" outline="0" fieldPosition="0">
        <references count="2">
          <reference field="4294967294" count="1" selected="0">
            <x v="0"/>
          </reference>
          <reference field="5" count="1" selected="0">
            <x v="1"/>
          </reference>
        </references>
      </pivotArea>
    </chartFormat>
    <chartFormat chart="6" format="1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63F6AD-17E7-419E-9D05-8CC2389C23F3}"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E13:F19" firstHeaderRow="1" firstDataRow="1" firstDataCol="1"/>
  <pivotFields count="8">
    <pivotField showAll="0"/>
    <pivotField showAll="0"/>
    <pivotField axis="axisRow" showAll="0">
      <items count="6">
        <item x="2"/>
        <item x="3"/>
        <item x="4"/>
        <item x="1"/>
        <item x="0"/>
        <item t="default"/>
      </items>
    </pivotField>
    <pivotField showAll="0"/>
    <pivotField showAll="0"/>
    <pivotField showAll="0"/>
    <pivotField showAll="0"/>
    <pivotField dataField="1" showAll="0"/>
  </pivotFields>
  <rowFields count="1">
    <field x="2"/>
  </rowFields>
  <rowItems count="6">
    <i>
      <x/>
    </i>
    <i>
      <x v="1"/>
    </i>
    <i>
      <x v="2"/>
    </i>
    <i>
      <x v="3"/>
    </i>
    <i>
      <x v="4"/>
    </i>
    <i t="grand">
      <x/>
    </i>
  </rowItems>
  <colItems count="1">
    <i/>
  </colItems>
  <dataFields count="1">
    <dataField name="Average of AttendancePct" fld="7" subtotal="average" baseField="2" baseItem="0" numFmtId="10"/>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8120784-8AD0-4056-8730-CB64FDA328E6}" sourceName="Department">
  <pivotTables>
    <pivotTable tabId="5" name="PivotTable1"/>
    <pivotTable tabId="7" name="PivotTable3"/>
    <pivotTable tabId="6" name="PivotTable2"/>
    <pivotTable tabId="8" name="PivotTable4"/>
  </pivotTables>
  <data>
    <tabular pivotCacheId="1719250023">
      <items count="5">
        <i x="2" s="1"/>
        <i x="3"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s" xr10:uid="{0C4B35F9-318F-46D2-95EE-8DF5E9E6BCA4}" sourceName="Promotions">
  <pivotTables>
    <pivotTable tabId="5" name="PivotTable1"/>
    <pivotTable tabId="7" name="PivotTable3"/>
    <pivotTable tabId="6" name="PivotTable2"/>
    <pivotTable tabId="8" name="PivotTable4"/>
  </pivotTables>
  <data>
    <tabular pivotCacheId="171925002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80621DA9-B26B-40C1-9E78-FD67865149A5}" sourceName="Attrition">
  <pivotTables>
    <pivotTable tabId="5" name="PivotTable1"/>
    <pivotTable tabId="7" name="PivotTable3"/>
    <pivotTable tabId="6" name="PivotTable2"/>
    <pivotTable tabId="8" name="PivotTable4"/>
  </pivotTables>
  <data>
    <tabular pivotCacheId="171925002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2E73653-EEDA-4EAE-8771-0908DFA2410D}" cache="Slicer_Department" caption="Department" style="SlicerStyleOther2" rowHeight="241300"/>
  <slicer name="Promotions" xr10:uid="{A0E6026B-3C4D-4056-9A4E-8A74BC6ADEF8}" cache="Slicer_Promotions" caption="Promotions" style="SlicerStyleOther2" rowHeight="241300"/>
  <slicer name="Attrition" xr10:uid="{AB121B76-7DAE-4DEC-B511-B5E57B1110A7}" cache="Slicer_Attrition" caption="Attrition"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9213DA-656D-49B9-9328-B23706F764F2}" name="tblEmployees" displayName="tblEmployees" ref="A1:H51" headerRowDxfId="7" headerRowBorderDxfId="6" tableBorderDxfId="5">
  <autoFilter ref="A1:H51" xr:uid="{3C3F63EF-5F99-4FCA-A510-B09E21195EB2}"/>
  <tableColumns count="8">
    <tableColumn id="1" xr3:uid="{29B3E958-3409-4530-96AC-1C36F0458D26}" name="Employee_ID" totalsRowLabel="Total"/>
    <tableColumn id="2" xr3:uid="{028F308C-5096-49A9-9617-D2F4AC455784}" name="Name"/>
    <tableColumn id="3" xr3:uid="{B125BBBC-8BEB-4A39-965D-8751C5BE235B}" name="Department"/>
    <tableColumn id="4" xr3:uid="{2A06B7CD-F52F-4DD0-A553-8923D04B5534}" name="Attendance"/>
    <tableColumn id="5" xr3:uid="{77392421-86AD-446A-AF79-6621D97D3C06}" name="Performance_Rating"/>
    <tableColumn id="6" xr3:uid="{8BD6E971-A3C6-402A-A154-7E80F4129B3F}" name="Promotions"/>
    <tableColumn id="7" xr3:uid="{A543E97A-E7F3-449F-A26A-2DE8B15D1285}" name="Attrition" totalsRowFunction="count"/>
    <tableColumn id="8" xr3:uid="{C94385E1-62E1-46DA-BC9D-D8A132752787}" name="AttendancePct" dataDxfId="4">
      <calculatedColumnFormula>tblEmployees[[#This Row],[Attendance]]/100</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pivotTable" Target="../pivotTables/pivotTable5.xml"/><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C1" sqref="A1:XFD1048576"/>
    </sheetView>
  </sheetViews>
  <sheetFormatPr defaultRowHeight="14.5"/>
  <cols>
    <col min="1" max="1" width="11.81640625" bestFit="1" customWidth="1"/>
    <col min="2" max="2" width="12" bestFit="1" customWidth="1"/>
    <col min="3" max="3" width="11.08984375" bestFit="1" customWidth="1"/>
    <col min="4" max="4" width="13.81640625" bestFit="1" customWidth="1"/>
    <col min="5" max="5" width="18.08984375" bestFit="1" customWidth="1"/>
    <col min="6" max="6" width="10.6328125" bestFit="1" customWidth="1"/>
    <col min="7" max="7" width="8" bestFit="1" customWidth="1"/>
  </cols>
  <sheetData>
    <row r="1" spans="1:7">
      <c r="A1" s="1" t="s">
        <v>0</v>
      </c>
      <c r="B1" s="1" t="s">
        <v>1</v>
      </c>
      <c r="C1" s="1" t="s">
        <v>2</v>
      </c>
      <c r="D1" s="1" t="s">
        <v>3</v>
      </c>
      <c r="E1" s="1" t="s">
        <v>4</v>
      </c>
      <c r="F1" s="1" t="s">
        <v>5</v>
      </c>
      <c r="G1" s="1" t="s">
        <v>6</v>
      </c>
    </row>
    <row r="2" spans="1:7">
      <c r="A2" t="s">
        <v>7</v>
      </c>
      <c r="B2" t="s">
        <v>57</v>
      </c>
      <c r="C2" t="s">
        <v>107</v>
      </c>
      <c r="D2">
        <v>87</v>
      </c>
      <c r="E2">
        <v>4</v>
      </c>
      <c r="F2">
        <v>0</v>
      </c>
      <c r="G2" t="s">
        <v>112</v>
      </c>
    </row>
    <row r="3" spans="1:7">
      <c r="A3" t="s">
        <v>8</v>
      </c>
      <c r="B3" t="s">
        <v>58</v>
      </c>
      <c r="C3" t="s">
        <v>108</v>
      </c>
      <c r="D3">
        <v>66</v>
      </c>
      <c r="E3">
        <v>3</v>
      </c>
      <c r="F3">
        <v>0</v>
      </c>
      <c r="G3" t="s">
        <v>113</v>
      </c>
    </row>
    <row r="4" spans="1:7">
      <c r="A4" t="s">
        <v>9</v>
      </c>
      <c r="B4" t="s">
        <v>59</v>
      </c>
      <c r="C4" t="s">
        <v>109</v>
      </c>
      <c r="D4">
        <v>67</v>
      </c>
      <c r="E4">
        <v>3</v>
      </c>
      <c r="F4">
        <v>0</v>
      </c>
      <c r="G4" t="s">
        <v>112</v>
      </c>
    </row>
    <row r="5" spans="1:7">
      <c r="A5" t="s">
        <v>10</v>
      </c>
      <c r="B5" t="s">
        <v>60</v>
      </c>
      <c r="C5" t="s">
        <v>108</v>
      </c>
      <c r="D5">
        <v>94</v>
      </c>
      <c r="E5">
        <v>1</v>
      </c>
      <c r="F5">
        <v>0</v>
      </c>
      <c r="G5" t="s">
        <v>112</v>
      </c>
    </row>
    <row r="6" spans="1:7">
      <c r="A6" t="s">
        <v>11</v>
      </c>
      <c r="B6" t="s">
        <v>61</v>
      </c>
      <c r="C6" t="s">
        <v>108</v>
      </c>
      <c r="D6">
        <v>73</v>
      </c>
      <c r="E6">
        <v>3</v>
      </c>
      <c r="F6">
        <v>1</v>
      </c>
      <c r="G6" t="s">
        <v>112</v>
      </c>
    </row>
    <row r="7" spans="1:7">
      <c r="A7" t="s">
        <v>12</v>
      </c>
      <c r="B7" t="s">
        <v>62</v>
      </c>
      <c r="C7" t="s">
        <v>110</v>
      </c>
      <c r="D7">
        <v>76</v>
      </c>
      <c r="E7">
        <v>3</v>
      </c>
      <c r="F7">
        <v>0</v>
      </c>
      <c r="G7" t="s">
        <v>112</v>
      </c>
    </row>
    <row r="8" spans="1:7">
      <c r="A8" t="s">
        <v>13</v>
      </c>
      <c r="B8" t="s">
        <v>63</v>
      </c>
      <c r="C8" t="s">
        <v>109</v>
      </c>
      <c r="D8">
        <v>95</v>
      </c>
      <c r="E8">
        <v>4</v>
      </c>
      <c r="F8">
        <v>0</v>
      </c>
      <c r="G8" t="s">
        <v>112</v>
      </c>
    </row>
    <row r="9" spans="1:7">
      <c r="A9" t="s">
        <v>14</v>
      </c>
      <c r="B9" t="s">
        <v>64</v>
      </c>
      <c r="C9" t="s">
        <v>109</v>
      </c>
      <c r="D9">
        <v>99</v>
      </c>
      <c r="E9">
        <v>3</v>
      </c>
      <c r="F9">
        <v>0</v>
      </c>
      <c r="G9" t="s">
        <v>112</v>
      </c>
    </row>
    <row r="10" spans="1:7">
      <c r="A10" t="s">
        <v>15</v>
      </c>
      <c r="B10" t="s">
        <v>65</v>
      </c>
      <c r="C10" t="s">
        <v>109</v>
      </c>
      <c r="D10">
        <v>63</v>
      </c>
      <c r="E10">
        <v>4</v>
      </c>
      <c r="F10">
        <v>0</v>
      </c>
      <c r="G10" t="s">
        <v>112</v>
      </c>
    </row>
    <row r="11" spans="1:7">
      <c r="A11" t="s">
        <v>16</v>
      </c>
      <c r="B11" t="s">
        <v>66</v>
      </c>
      <c r="C11" t="s">
        <v>108</v>
      </c>
      <c r="D11">
        <v>61</v>
      </c>
      <c r="E11">
        <v>3</v>
      </c>
      <c r="F11">
        <v>1</v>
      </c>
      <c r="G11" t="s">
        <v>112</v>
      </c>
    </row>
    <row r="12" spans="1:7">
      <c r="A12" t="s">
        <v>17</v>
      </c>
      <c r="B12" t="s">
        <v>67</v>
      </c>
      <c r="C12" t="s">
        <v>107</v>
      </c>
      <c r="D12">
        <v>65</v>
      </c>
      <c r="E12">
        <v>2</v>
      </c>
      <c r="F12">
        <v>1</v>
      </c>
      <c r="G12" t="s">
        <v>113</v>
      </c>
    </row>
    <row r="13" spans="1:7">
      <c r="A13" t="s">
        <v>18</v>
      </c>
      <c r="B13" t="s">
        <v>68</v>
      </c>
      <c r="C13" t="s">
        <v>109</v>
      </c>
      <c r="D13">
        <v>63</v>
      </c>
      <c r="E13">
        <v>4</v>
      </c>
      <c r="F13">
        <v>0</v>
      </c>
      <c r="G13" t="s">
        <v>112</v>
      </c>
    </row>
    <row r="14" spans="1:7">
      <c r="A14" t="s">
        <v>19</v>
      </c>
      <c r="B14" t="s">
        <v>69</v>
      </c>
      <c r="C14" t="s">
        <v>108</v>
      </c>
      <c r="D14">
        <v>88</v>
      </c>
      <c r="E14">
        <v>4</v>
      </c>
      <c r="F14">
        <v>0</v>
      </c>
      <c r="G14" t="s">
        <v>112</v>
      </c>
    </row>
    <row r="15" spans="1:7">
      <c r="A15" t="s">
        <v>20</v>
      </c>
      <c r="B15" t="s">
        <v>70</v>
      </c>
      <c r="C15" t="s">
        <v>110</v>
      </c>
      <c r="D15">
        <v>77</v>
      </c>
      <c r="E15">
        <v>3</v>
      </c>
      <c r="F15">
        <v>0</v>
      </c>
      <c r="G15" t="s">
        <v>112</v>
      </c>
    </row>
    <row r="16" spans="1:7">
      <c r="A16" t="s">
        <v>21</v>
      </c>
      <c r="B16" t="s">
        <v>71</v>
      </c>
      <c r="C16" t="s">
        <v>107</v>
      </c>
      <c r="D16">
        <v>85</v>
      </c>
      <c r="E16">
        <v>4</v>
      </c>
      <c r="F16">
        <v>0</v>
      </c>
      <c r="G16" t="s">
        <v>112</v>
      </c>
    </row>
    <row r="17" spans="1:7">
      <c r="A17" t="s">
        <v>22</v>
      </c>
      <c r="B17" t="s">
        <v>72</v>
      </c>
      <c r="C17" t="s">
        <v>110</v>
      </c>
      <c r="D17">
        <v>93</v>
      </c>
      <c r="E17">
        <v>3</v>
      </c>
      <c r="F17">
        <v>0</v>
      </c>
      <c r="G17" t="s">
        <v>112</v>
      </c>
    </row>
    <row r="18" spans="1:7">
      <c r="A18" t="s">
        <v>23</v>
      </c>
      <c r="B18" t="s">
        <v>73</v>
      </c>
      <c r="C18" t="s">
        <v>107</v>
      </c>
      <c r="D18">
        <v>69</v>
      </c>
      <c r="E18">
        <v>3</v>
      </c>
      <c r="F18">
        <v>0</v>
      </c>
      <c r="G18" t="s">
        <v>112</v>
      </c>
    </row>
    <row r="19" spans="1:7">
      <c r="A19" t="s">
        <v>24</v>
      </c>
      <c r="B19" t="s">
        <v>74</v>
      </c>
      <c r="C19" t="s">
        <v>108</v>
      </c>
      <c r="D19">
        <v>95</v>
      </c>
      <c r="E19">
        <v>3</v>
      </c>
      <c r="F19">
        <v>0</v>
      </c>
      <c r="G19" t="s">
        <v>112</v>
      </c>
    </row>
    <row r="20" spans="1:7">
      <c r="A20" t="s">
        <v>25</v>
      </c>
      <c r="B20" t="s">
        <v>75</v>
      </c>
      <c r="C20" t="s">
        <v>111</v>
      </c>
      <c r="D20">
        <v>73</v>
      </c>
      <c r="E20">
        <v>1</v>
      </c>
      <c r="F20">
        <v>0</v>
      </c>
      <c r="G20" t="s">
        <v>112</v>
      </c>
    </row>
    <row r="21" spans="1:7">
      <c r="A21" t="s">
        <v>26</v>
      </c>
      <c r="B21" t="s">
        <v>76</v>
      </c>
      <c r="C21" t="s">
        <v>107</v>
      </c>
      <c r="D21">
        <v>90</v>
      </c>
      <c r="E21">
        <v>2</v>
      </c>
      <c r="F21">
        <v>0</v>
      </c>
      <c r="G21" t="s">
        <v>112</v>
      </c>
    </row>
    <row r="22" spans="1:7">
      <c r="A22" t="s">
        <v>27</v>
      </c>
      <c r="B22" t="s">
        <v>77</v>
      </c>
      <c r="C22" t="s">
        <v>110</v>
      </c>
      <c r="D22">
        <v>74</v>
      </c>
      <c r="E22">
        <v>1</v>
      </c>
      <c r="F22">
        <v>1</v>
      </c>
      <c r="G22" t="s">
        <v>112</v>
      </c>
    </row>
    <row r="23" spans="1:7">
      <c r="A23" t="s">
        <v>28</v>
      </c>
      <c r="B23" t="s">
        <v>78</v>
      </c>
      <c r="C23" t="s">
        <v>108</v>
      </c>
      <c r="D23">
        <v>67</v>
      </c>
      <c r="E23">
        <v>3</v>
      </c>
      <c r="F23">
        <v>0</v>
      </c>
      <c r="G23" t="s">
        <v>113</v>
      </c>
    </row>
    <row r="24" spans="1:7">
      <c r="A24" t="s">
        <v>29</v>
      </c>
      <c r="B24" t="s">
        <v>79</v>
      </c>
      <c r="C24" t="s">
        <v>107</v>
      </c>
      <c r="D24">
        <v>73</v>
      </c>
      <c r="E24">
        <v>3</v>
      </c>
      <c r="F24">
        <v>0</v>
      </c>
      <c r="G24" t="s">
        <v>113</v>
      </c>
    </row>
    <row r="25" spans="1:7">
      <c r="A25" t="s">
        <v>30</v>
      </c>
      <c r="B25" t="s">
        <v>80</v>
      </c>
      <c r="C25" t="s">
        <v>111</v>
      </c>
      <c r="D25">
        <v>82</v>
      </c>
      <c r="E25">
        <v>3</v>
      </c>
      <c r="F25">
        <v>0</v>
      </c>
      <c r="G25" t="s">
        <v>112</v>
      </c>
    </row>
    <row r="26" spans="1:7">
      <c r="A26" t="s">
        <v>31</v>
      </c>
      <c r="B26" t="s">
        <v>81</v>
      </c>
      <c r="C26" t="s">
        <v>111</v>
      </c>
      <c r="D26">
        <v>99</v>
      </c>
      <c r="E26">
        <v>5</v>
      </c>
      <c r="F26">
        <v>1</v>
      </c>
      <c r="G26" t="s">
        <v>112</v>
      </c>
    </row>
    <row r="27" spans="1:7">
      <c r="A27" t="s">
        <v>32</v>
      </c>
      <c r="B27" t="s">
        <v>82</v>
      </c>
      <c r="C27" t="s">
        <v>109</v>
      </c>
      <c r="D27">
        <v>80</v>
      </c>
      <c r="E27">
        <v>2</v>
      </c>
      <c r="F27">
        <v>0</v>
      </c>
      <c r="G27" t="s">
        <v>113</v>
      </c>
    </row>
    <row r="28" spans="1:7">
      <c r="A28" t="s">
        <v>33</v>
      </c>
      <c r="B28" t="s">
        <v>83</v>
      </c>
      <c r="C28" t="s">
        <v>109</v>
      </c>
      <c r="D28">
        <v>75</v>
      </c>
      <c r="E28">
        <v>3</v>
      </c>
      <c r="F28">
        <v>0</v>
      </c>
      <c r="G28" t="s">
        <v>113</v>
      </c>
    </row>
    <row r="29" spans="1:7">
      <c r="A29" t="s">
        <v>34</v>
      </c>
      <c r="B29" t="s">
        <v>84</v>
      </c>
      <c r="C29" t="s">
        <v>110</v>
      </c>
      <c r="D29">
        <v>77</v>
      </c>
      <c r="E29">
        <v>4</v>
      </c>
      <c r="F29">
        <v>0</v>
      </c>
      <c r="G29" t="s">
        <v>112</v>
      </c>
    </row>
    <row r="30" spans="1:7">
      <c r="A30" t="s">
        <v>35</v>
      </c>
      <c r="B30" t="s">
        <v>85</v>
      </c>
      <c r="C30" t="s">
        <v>107</v>
      </c>
      <c r="D30">
        <v>83</v>
      </c>
      <c r="E30">
        <v>2</v>
      </c>
      <c r="F30">
        <v>0</v>
      </c>
      <c r="G30" t="s">
        <v>113</v>
      </c>
    </row>
    <row r="31" spans="1:7">
      <c r="A31" t="s">
        <v>36</v>
      </c>
      <c r="B31" t="s">
        <v>86</v>
      </c>
      <c r="C31" t="s">
        <v>107</v>
      </c>
      <c r="D31">
        <v>85</v>
      </c>
      <c r="E31">
        <v>1</v>
      </c>
      <c r="F31">
        <v>0</v>
      </c>
      <c r="G31" t="s">
        <v>113</v>
      </c>
    </row>
    <row r="32" spans="1:7">
      <c r="A32" t="s">
        <v>37</v>
      </c>
      <c r="B32" t="s">
        <v>87</v>
      </c>
      <c r="C32" t="s">
        <v>109</v>
      </c>
      <c r="D32">
        <v>84</v>
      </c>
      <c r="E32">
        <v>3</v>
      </c>
      <c r="F32">
        <v>0</v>
      </c>
      <c r="G32" t="s">
        <v>112</v>
      </c>
    </row>
    <row r="33" spans="1:7">
      <c r="A33" t="s">
        <v>38</v>
      </c>
      <c r="B33" t="s">
        <v>88</v>
      </c>
      <c r="C33" t="s">
        <v>107</v>
      </c>
      <c r="D33">
        <v>88</v>
      </c>
      <c r="E33">
        <v>2</v>
      </c>
      <c r="F33">
        <v>0</v>
      </c>
      <c r="G33" t="s">
        <v>112</v>
      </c>
    </row>
    <row r="34" spans="1:7">
      <c r="A34" t="s">
        <v>39</v>
      </c>
      <c r="B34" t="s">
        <v>89</v>
      </c>
      <c r="C34" t="s">
        <v>107</v>
      </c>
      <c r="D34">
        <v>74</v>
      </c>
      <c r="E34">
        <v>5</v>
      </c>
      <c r="F34">
        <v>0</v>
      </c>
      <c r="G34" t="s">
        <v>112</v>
      </c>
    </row>
    <row r="35" spans="1:7">
      <c r="A35" t="s">
        <v>40</v>
      </c>
      <c r="B35" t="s">
        <v>90</v>
      </c>
      <c r="C35" t="s">
        <v>111</v>
      </c>
      <c r="D35">
        <v>60</v>
      </c>
      <c r="E35">
        <v>4</v>
      </c>
      <c r="F35">
        <v>0</v>
      </c>
      <c r="G35" t="s">
        <v>112</v>
      </c>
    </row>
    <row r="36" spans="1:7">
      <c r="A36" t="s">
        <v>41</v>
      </c>
      <c r="B36" t="s">
        <v>91</v>
      </c>
      <c r="C36" t="s">
        <v>109</v>
      </c>
      <c r="D36">
        <v>84</v>
      </c>
      <c r="E36">
        <v>3</v>
      </c>
      <c r="F36">
        <v>0</v>
      </c>
      <c r="G36" t="s">
        <v>112</v>
      </c>
    </row>
    <row r="37" spans="1:7">
      <c r="A37" t="s">
        <v>42</v>
      </c>
      <c r="B37" t="s">
        <v>92</v>
      </c>
      <c r="C37" t="s">
        <v>108</v>
      </c>
      <c r="D37">
        <v>66</v>
      </c>
      <c r="E37">
        <v>4</v>
      </c>
      <c r="F37">
        <v>1</v>
      </c>
      <c r="G37" t="s">
        <v>112</v>
      </c>
    </row>
    <row r="38" spans="1:7">
      <c r="A38" t="s">
        <v>43</v>
      </c>
      <c r="B38" t="s">
        <v>93</v>
      </c>
      <c r="C38" t="s">
        <v>109</v>
      </c>
      <c r="D38">
        <v>68</v>
      </c>
      <c r="E38">
        <v>4</v>
      </c>
      <c r="F38">
        <v>0</v>
      </c>
      <c r="G38" t="s">
        <v>112</v>
      </c>
    </row>
    <row r="39" spans="1:7">
      <c r="A39" t="s">
        <v>44</v>
      </c>
      <c r="B39" t="s">
        <v>94</v>
      </c>
      <c r="C39" t="s">
        <v>108</v>
      </c>
      <c r="D39">
        <v>83</v>
      </c>
      <c r="E39">
        <v>2</v>
      </c>
      <c r="F39">
        <v>0</v>
      </c>
      <c r="G39" t="s">
        <v>112</v>
      </c>
    </row>
    <row r="40" spans="1:7">
      <c r="A40" t="s">
        <v>45</v>
      </c>
      <c r="B40" t="s">
        <v>95</v>
      </c>
      <c r="C40" t="s">
        <v>111</v>
      </c>
      <c r="D40">
        <v>60</v>
      </c>
      <c r="E40">
        <v>4</v>
      </c>
      <c r="F40">
        <v>0</v>
      </c>
      <c r="G40" t="s">
        <v>112</v>
      </c>
    </row>
    <row r="41" spans="1:7">
      <c r="A41" t="s">
        <v>46</v>
      </c>
      <c r="B41" t="s">
        <v>96</v>
      </c>
      <c r="C41" t="s">
        <v>110</v>
      </c>
      <c r="D41">
        <v>67</v>
      </c>
      <c r="E41">
        <v>3</v>
      </c>
      <c r="F41">
        <v>0</v>
      </c>
      <c r="G41" t="s">
        <v>112</v>
      </c>
    </row>
    <row r="42" spans="1:7">
      <c r="A42" t="s">
        <v>47</v>
      </c>
      <c r="B42" t="s">
        <v>97</v>
      </c>
      <c r="C42" t="s">
        <v>107</v>
      </c>
      <c r="D42">
        <v>83</v>
      </c>
      <c r="E42">
        <v>4</v>
      </c>
      <c r="F42">
        <v>0</v>
      </c>
      <c r="G42" t="s">
        <v>112</v>
      </c>
    </row>
    <row r="43" spans="1:7">
      <c r="A43" t="s">
        <v>48</v>
      </c>
      <c r="B43" t="s">
        <v>98</v>
      </c>
      <c r="C43" t="s">
        <v>111</v>
      </c>
      <c r="D43">
        <v>70</v>
      </c>
      <c r="E43">
        <v>4</v>
      </c>
      <c r="F43">
        <v>0</v>
      </c>
      <c r="G43" t="s">
        <v>112</v>
      </c>
    </row>
    <row r="44" spans="1:7">
      <c r="A44" t="s">
        <v>49</v>
      </c>
      <c r="B44" t="s">
        <v>99</v>
      </c>
      <c r="C44" t="s">
        <v>107</v>
      </c>
      <c r="D44">
        <v>76</v>
      </c>
      <c r="E44">
        <v>3</v>
      </c>
      <c r="F44">
        <v>0</v>
      </c>
      <c r="G44" t="s">
        <v>113</v>
      </c>
    </row>
    <row r="45" spans="1:7">
      <c r="A45" t="s">
        <v>50</v>
      </c>
      <c r="B45" t="s">
        <v>100</v>
      </c>
      <c r="C45" t="s">
        <v>110</v>
      </c>
      <c r="D45">
        <v>67</v>
      </c>
      <c r="E45">
        <v>2</v>
      </c>
      <c r="F45">
        <v>0</v>
      </c>
      <c r="G45" t="s">
        <v>112</v>
      </c>
    </row>
    <row r="46" spans="1:7">
      <c r="A46" t="s">
        <v>51</v>
      </c>
      <c r="B46" t="s">
        <v>101</v>
      </c>
      <c r="C46" t="s">
        <v>110</v>
      </c>
      <c r="D46">
        <v>94</v>
      </c>
      <c r="E46">
        <v>2</v>
      </c>
      <c r="F46">
        <v>0</v>
      </c>
      <c r="G46" t="s">
        <v>112</v>
      </c>
    </row>
    <row r="47" spans="1:7">
      <c r="A47" t="s">
        <v>52</v>
      </c>
      <c r="B47" t="s">
        <v>102</v>
      </c>
      <c r="C47" t="s">
        <v>111</v>
      </c>
      <c r="D47">
        <v>94</v>
      </c>
      <c r="E47">
        <v>3</v>
      </c>
      <c r="F47">
        <v>0</v>
      </c>
      <c r="G47" t="s">
        <v>112</v>
      </c>
    </row>
    <row r="48" spans="1:7">
      <c r="A48" t="s">
        <v>53</v>
      </c>
      <c r="B48" t="s">
        <v>103</v>
      </c>
      <c r="C48" t="s">
        <v>110</v>
      </c>
      <c r="D48">
        <v>92</v>
      </c>
      <c r="E48">
        <v>4</v>
      </c>
      <c r="F48">
        <v>0</v>
      </c>
      <c r="G48" t="s">
        <v>112</v>
      </c>
    </row>
    <row r="49" spans="1:7">
      <c r="A49" t="s">
        <v>54</v>
      </c>
      <c r="B49" t="s">
        <v>104</v>
      </c>
      <c r="C49" t="s">
        <v>108</v>
      </c>
      <c r="D49">
        <v>64</v>
      </c>
      <c r="E49">
        <v>4</v>
      </c>
      <c r="F49">
        <v>0</v>
      </c>
      <c r="G49" t="s">
        <v>112</v>
      </c>
    </row>
    <row r="50" spans="1:7">
      <c r="A50" t="s">
        <v>55</v>
      </c>
      <c r="B50" t="s">
        <v>105</v>
      </c>
      <c r="C50" t="s">
        <v>110</v>
      </c>
      <c r="D50">
        <v>98</v>
      </c>
      <c r="E50">
        <v>1</v>
      </c>
      <c r="F50">
        <v>1</v>
      </c>
      <c r="G50" t="s">
        <v>112</v>
      </c>
    </row>
    <row r="51" spans="1:7">
      <c r="A51" t="s">
        <v>56</v>
      </c>
      <c r="B51" t="s">
        <v>106</v>
      </c>
      <c r="C51" t="s">
        <v>107</v>
      </c>
      <c r="D51">
        <v>87</v>
      </c>
      <c r="E51">
        <v>3</v>
      </c>
      <c r="F51">
        <v>0</v>
      </c>
      <c r="G51" t="s">
        <v>112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97D26-B95E-418F-82B7-27A5C689D896}">
  <dimension ref="A3:B9"/>
  <sheetViews>
    <sheetView workbookViewId="0">
      <selection activeCell="M13" sqref="M13"/>
    </sheetView>
  </sheetViews>
  <sheetFormatPr defaultRowHeight="14.5"/>
  <cols>
    <col min="1" max="1" width="12.36328125" bestFit="1" customWidth="1"/>
    <col min="2" max="2" width="22.81640625" bestFit="1" customWidth="1"/>
  </cols>
  <sheetData>
    <row r="3" spans="1:2">
      <c r="A3" s="11" t="s">
        <v>116</v>
      </c>
      <c r="B3" t="s">
        <v>118</v>
      </c>
    </row>
    <row r="4" spans="1:2">
      <c r="A4" s="12" t="s">
        <v>109</v>
      </c>
      <c r="B4" s="4">
        <v>0.77799999999999991</v>
      </c>
    </row>
    <row r="5" spans="1:2">
      <c r="A5" s="12" t="s">
        <v>110</v>
      </c>
      <c r="B5" s="4">
        <v>0.81500000000000006</v>
      </c>
    </row>
    <row r="6" spans="1:2">
      <c r="A6" s="12" t="s">
        <v>111</v>
      </c>
      <c r="B6" s="4">
        <v>0.76857142857142868</v>
      </c>
    </row>
    <row r="7" spans="1:2">
      <c r="A7" s="12" t="s">
        <v>108</v>
      </c>
      <c r="B7" s="4">
        <v>0.7569999999999999</v>
      </c>
    </row>
    <row r="8" spans="1:2">
      <c r="A8" s="12" t="s">
        <v>107</v>
      </c>
      <c r="B8" s="4">
        <v>0.80384615384615365</v>
      </c>
    </row>
    <row r="9" spans="1:2">
      <c r="A9" s="12" t="s">
        <v>117</v>
      </c>
      <c r="B9" s="4">
        <v>0.78659999999999997</v>
      </c>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83BF5-F417-4BFD-A9F3-84631C9E61B8}">
  <dimension ref="A3:B9"/>
  <sheetViews>
    <sheetView workbookViewId="0">
      <selection activeCell="A3" sqref="A3:B9"/>
    </sheetView>
  </sheetViews>
  <sheetFormatPr defaultRowHeight="14.5"/>
  <cols>
    <col min="1" max="1" width="12.36328125" bestFit="1" customWidth="1"/>
    <col min="2" max="2" width="24.453125" bestFit="1" customWidth="1"/>
  </cols>
  <sheetData>
    <row r="3" spans="1:2">
      <c r="A3" s="11" t="s">
        <v>116</v>
      </c>
      <c r="B3" t="s">
        <v>119</v>
      </c>
    </row>
    <row r="4" spans="1:2">
      <c r="A4" s="12" t="s">
        <v>109</v>
      </c>
      <c r="B4" s="13">
        <v>33</v>
      </c>
    </row>
    <row r="5" spans="1:2">
      <c r="A5" s="12" t="s">
        <v>110</v>
      </c>
      <c r="B5" s="13">
        <v>26</v>
      </c>
    </row>
    <row r="6" spans="1:2">
      <c r="A6" s="12" t="s">
        <v>111</v>
      </c>
      <c r="B6" s="13">
        <v>24</v>
      </c>
    </row>
    <row r="7" spans="1:2">
      <c r="A7" s="12" t="s">
        <v>108</v>
      </c>
      <c r="B7" s="13">
        <v>30</v>
      </c>
    </row>
    <row r="8" spans="1:2">
      <c r="A8" s="12" t="s">
        <v>107</v>
      </c>
      <c r="B8" s="13">
        <v>38</v>
      </c>
    </row>
    <row r="9" spans="1:2">
      <c r="A9" s="12" t="s">
        <v>117</v>
      </c>
      <c r="B9" s="13">
        <v>151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F84B6-EC46-4C45-A1C5-556F8D9ACC37}">
  <dimension ref="A3:B6"/>
  <sheetViews>
    <sheetView workbookViewId="0">
      <selection activeCell="B13" sqref="B13"/>
    </sheetView>
  </sheetViews>
  <sheetFormatPr defaultRowHeight="14.5"/>
  <cols>
    <col min="1" max="1" width="12.36328125" bestFit="1" customWidth="1"/>
    <col min="2" max="2" width="19.7265625" bestFit="1" customWidth="1"/>
  </cols>
  <sheetData>
    <row r="3" spans="1:2">
      <c r="A3" s="11" t="s">
        <v>116</v>
      </c>
      <c r="B3" t="s">
        <v>120</v>
      </c>
    </row>
    <row r="4" spans="1:2">
      <c r="A4" s="12" t="s">
        <v>112</v>
      </c>
      <c r="B4" s="13">
        <v>41</v>
      </c>
    </row>
    <row r="5" spans="1:2">
      <c r="A5" s="12" t="s">
        <v>113</v>
      </c>
      <c r="B5" s="13">
        <v>9</v>
      </c>
    </row>
    <row r="6" spans="1:2">
      <c r="A6" s="12" t="s">
        <v>117</v>
      </c>
      <c r="B6" s="13">
        <v>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7CD97-80F9-4BBF-B1F7-26DB021D9AB5}">
  <dimension ref="A3:D10"/>
  <sheetViews>
    <sheetView topLeftCell="X1" workbookViewId="0">
      <selection activeCell="B5" sqref="B5"/>
    </sheetView>
  </sheetViews>
  <sheetFormatPr defaultRowHeight="14.5"/>
  <cols>
    <col min="1" max="1" width="19.7265625" bestFit="1" customWidth="1"/>
    <col min="2" max="2" width="15.26953125" bestFit="1" customWidth="1"/>
    <col min="3" max="3" width="1.81640625" bestFit="1" customWidth="1"/>
    <col min="4" max="4" width="10.7265625" bestFit="1" customWidth="1"/>
  </cols>
  <sheetData>
    <row r="3" spans="1:4">
      <c r="A3" s="11" t="s">
        <v>120</v>
      </c>
      <c r="B3" s="11" t="s">
        <v>121</v>
      </c>
    </row>
    <row r="4" spans="1:4">
      <c r="A4" s="11" t="s">
        <v>116</v>
      </c>
      <c r="B4">
        <v>0</v>
      </c>
      <c r="C4">
        <v>1</v>
      </c>
      <c r="D4" t="s">
        <v>117</v>
      </c>
    </row>
    <row r="5" spans="1:4">
      <c r="A5" s="12">
        <v>1</v>
      </c>
      <c r="B5" s="13">
        <v>3</v>
      </c>
      <c r="C5" s="13">
        <v>2</v>
      </c>
      <c r="D5" s="13">
        <v>5</v>
      </c>
    </row>
    <row r="6" spans="1:4">
      <c r="A6" s="12">
        <v>2</v>
      </c>
      <c r="B6" s="13">
        <v>7</v>
      </c>
      <c r="C6" s="13">
        <v>1</v>
      </c>
      <c r="D6" s="13">
        <v>8</v>
      </c>
    </row>
    <row r="7" spans="1:4">
      <c r="A7" s="12">
        <v>3</v>
      </c>
      <c r="B7" s="13">
        <v>18</v>
      </c>
      <c r="C7" s="13">
        <v>2</v>
      </c>
      <c r="D7" s="13">
        <v>20</v>
      </c>
    </row>
    <row r="8" spans="1:4">
      <c r="A8" s="12">
        <v>4</v>
      </c>
      <c r="B8" s="13">
        <v>14</v>
      </c>
      <c r="C8" s="13">
        <v>1</v>
      </c>
      <c r="D8" s="13">
        <v>15</v>
      </c>
    </row>
    <row r="9" spans="1:4">
      <c r="A9" s="12">
        <v>5</v>
      </c>
      <c r="B9" s="13">
        <v>1</v>
      </c>
      <c r="C9" s="13">
        <v>1</v>
      </c>
      <c r="D9" s="13">
        <v>2</v>
      </c>
    </row>
    <row r="10" spans="1:4">
      <c r="A10" s="12" t="s">
        <v>117</v>
      </c>
      <c r="B10" s="13">
        <v>43</v>
      </c>
      <c r="C10" s="13">
        <v>7</v>
      </c>
      <c r="D10" s="13">
        <v>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1F7AC-9C0E-4FD8-A1C6-C18E178C1EBC}">
  <dimension ref="A1:H51"/>
  <sheetViews>
    <sheetView workbookViewId="0">
      <selection activeCell="G1" sqref="G1"/>
    </sheetView>
  </sheetViews>
  <sheetFormatPr defaultRowHeight="14.5"/>
  <cols>
    <col min="1" max="1" width="16.36328125" bestFit="1" customWidth="1"/>
    <col min="2" max="2" width="12" bestFit="1" customWidth="1"/>
    <col min="3" max="3" width="15.6328125" bestFit="1" customWidth="1"/>
    <col min="4" max="4" width="15.08984375" bestFit="1" customWidth="1"/>
    <col min="5" max="5" width="22.6328125" bestFit="1" customWidth="1"/>
    <col min="6" max="6" width="15.1796875" bestFit="1" customWidth="1"/>
    <col min="7" max="7" width="12.54296875" bestFit="1" customWidth="1"/>
    <col min="8" max="8" width="17.81640625" bestFit="1" customWidth="1"/>
  </cols>
  <sheetData>
    <row r="1" spans="1:8">
      <c r="A1" s="2" t="s">
        <v>0</v>
      </c>
      <c r="B1" s="2" t="s">
        <v>1</v>
      </c>
      <c r="C1" s="2" t="s">
        <v>2</v>
      </c>
      <c r="D1" s="2" t="s">
        <v>114</v>
      </c>
      <c r="E1" s="2" t="s">
        <v>4</v>
      </c>
      <c r="F1" s="2" t="s">
        <v>5</v>
      </c>
      <c r="G1" s="2" t="s">
        <v>6</v>
      </c>
      <c r="H1" s="2" t="s">
        <v>115</v>
      </c>
    </row>
    <row r="2" spans="1:8">
      <c r="A2" t="s">
        <v>7</v>
      </c>
      <c r="B2" t="s">
        <v>57</v>
      </c>
      <c r="C2" t="s">
        <v>107</v>
      </c>
      <c r="D2">
        <v>87</v>
      </c>
      <c r="E2">
        <v>4</v>
      </c>
      <c r="F2">
        <v>0</v>
      </c>
      <c r="G2" t="s">
        <v>112</v>
      </c>
      <c r="H2">
        <f>tblEmployees[[#This Row],[Attendance]]/100</f>
        <v>0.87</v>
      </c>
    </row>
    <row r="3" spans="1:8">
      <c r="A3" t="s">
        <v>8</v>
      </c>
      <c r="B3" t="s">
        <v>58</v>
      </c>
      <c r="C3" t="s">
        <v>108</v>
      </c>
      <c r="D3">
        <v>66</v>
      </c>
      <c r="E3">
        <v>3</v>
      </c>
      <c r="F3">
        <v>0</v>
      </c>
      <c r="G3" t="s">
        <v>113</v>
      </c>
      <c r="H3">
        <f>tblEmployees[[#This Row],[Attendance]]/100</f>
        <v>0.66</v>
      </c>
    </row>
    <row r="4" spans="1:8">
      <c r="A4" t="s">
        <v>9</v>
      </c>
      <c r="B4" t="s">
        <v>59</v>
      </c>
      <c r="C4" t="s">
        <v>109</v>
      </c>
      <c r="D4">
        <v>67</v>
      </c>
      <c r="E4">
        <v>3</v>
      </c>
      <c r="F4">
        <v>0</v>
      </c>
      <c r="G4" t="s">
        <v>112</v>
      </c>
      <c r="H4">
        <f>tblEmployees[[#This Row],[Attendance]]/100</f>
        <v>0.67</v>
      </c>
    </row>
    <row r="5" spans="1:8">
      <c r="A5" t="s">
        <v>10</v>
      </c>
      <c r="B5" t="s">
        <v>60</v>
      </c>
      <c r="C5" t="s">
        <v>108</v>
      </c>
      <c r="D5">
        <v>94</v>
      </c>
      <c r="E5">
        <v>1</v>
      </c>
      <c r="F5">
        <v>0</v>
      </c>
      <c r="G5" t="s">
        <v>112</v>
      </c>
      <c r="H5">
        <f>tblEmployees[[#This Row],[Attendance]]/100</f>
        <v>0.94</v>
      </c>
    </row>
    <row r="6" spans="1:8">
      <c r="A6" t="s">
        <v>11</v>
      </c>
      <c r="B6" t="s">
        <v>61</v>
      </c>
      <c r="C6" t="s">
        <v>108</v>
      </c>
      <c r="D6">
        <v>73</v>
      </c>
      <c r="E6">
        <v>3</v>
      </c>
      <c r="F6">
        <v>1</v>
      </c>
      <c r="G6" t="s">
        <v>112</v>
      </c>
      <c r="H6">
        <f>tblEmployees[[#This Row],[Attendance]]/100</f>
        <v>0.73</v>
      </c>
    </row>
    <row r="7" spans="1:8">
      <c r="A7" t="s">
        <v>12</v>
      </c>
      <c r="B7" t="s">
        <v>62</v>
      </c>
      <c r="C7" t="s">
        <v>110</v>
      </c>
      <c r="D7">
        <v>76</v>
      </c>
      <c r="E7">
        <v>3</v>
      </c>
      <c r="F7">
        <v>0</v>
      </c>
      <c r="G7" t="s">
        <v>112</v>
      </c>
      <c r="H7">
        <f>tblEmployees[[#This Row],[Attendance]]/100</f>
        <v>0.76</v>
      </c>
    </row>
    <row r="8" spans="1:8">
      <c r="A8" t="s">
        <v>13</v>
      </c>
      <c r="B8" t="s">
        <v>63</v>
      </c>
      <c r="C8" t="s">
        <v>109</v>
      </c>
      <c r="D8">
        <v>95</v>
      </c>
      <c r="E8">
        <v>4</v>
      </c>
      <c r="F8">
        <v>0</v>
      </c>
      <c r="G8" t="s">
        <v>112</v>
      </c>
      <c r="H8">
        <f>tblEmployees[[#This Row],[Attendance]]/100</f>
        <v>0.95</v>
      </c>
    </row>
    <row r="9" spans="1:8">
      <c r="A9" t="s">
        <v>14</v>
      </c>
      <c r="B9" t="s">
        <v>64</v>
      </c>
      <c r="C9" t="s">
        <v>109</v>
      </c>
      <c r="D9">
        <v>99</v>
      </c>
      <c r="E9">
        <v>3</v>
      </c>
      <c r="F9">
        <v>0</v>
      </c>
      <c r="G9" t="s">
        <v>112</v>
      </c>
      <c r="H9">
        <f>tblEmployees[[#This Row],[Attendance]]/100</f>
        <v>0.99</v>
      </c>
    </row>
    <row r="10" spans="1:8">
      <c r="A10" t="s">
        <v>15</v>
      </c>
      <c r="B10" t="s">
        <v>65</v>
      </c>
      <c r="C10" t="s">
        <v>109</v>
      </c>
      <c r="D10">
        <v>63</v>
      </c>
      <c r="E10">
        <v>4</v>
      </c>
      <c r="F10">
        <v>0</v>
      </c>
      <c r="G10" t="s">
        <v>112</v>
      </c>
      <c r="H10">
        <f>tblEmployees[[#This Row],[Attendance]]/100</f>
        <v>0.63</v>
      </c>
    </row>
    <row r="11" spans="1:8">
      <c r="A11" t="s">
        <v>16</v>
      </c>
      <c r="B11" t="s">
        <v>66</v>
      </c>
      <c r="C11" t="s">
        <v>108</v>
      </c>
      <c r="D11">
        <v>61</v>
      </c>
      <c r="E11">
        <v>3</v>
      </c>
      <c r="F11">
        <v>1</v>
      </c>
      <c r="G11" t="s">
        <v>112</v>
      </c>
      <c r="H11">
        <f>tblEmployees[[#This Row],[Attendance]]/100</f>
        <v>0.61</v>
      </c>
    </row>
    <row r="12" spans="1:8">
      <c r="A12" t="s">
        <v>17</v>
      </c>
      <c r="B12" t="s">
        <v>67</v>
      </c>
      <c r="C12" t="s">
        <v>107</v>
      </c>
      <c r="D12">
        <v>65</v>
      </c>
      <c r="E12">
        <v>2</v>
      </c>
      <c r="F12">
        <v>1</v>
      </c>
      <c r="G12" t="s">
        <v>113</v>
      </c>
      <c r="H12">
        <f>tblEmployees[[#This Row],[Attendance]]/100</f>
        <v>0.65</v>
      </c>
    </row>
    <row r="13" spans="1:8">
      <c r="A13" t="s">
        <v>18</v>
      </c>
      <c r="B13" t="s">
        <v>68</v>
      </c>
      <c r="C13" t="s">
        <v>109</v>
      </c>
      <c r="D13">
        <v>63</v>
      </c>
      <c r="E13">
        <v>4</v>
      </c>
      <c r="F13">
        <v>0</v>
      </c>
      <c r="G13" t="s">
        <v>112</v>
      </c>
      <c r="H13">
        <f>tblEmployees[[#This Row],[Attendance]]/100</f>
        <v>0.63</v>
      </c>
    </row>
    <row r="14" spans="1:8">
      <c r="A14" t="s">
        <v>19</v>
      </c>
      <c r="B14" t="s">
        <v>69</v>
      </c>
      <c r="C14" t="s">
        <v>108</v>
      </c>
      <c r="D14">
        <v>88</v>
      </c>
      <c r="E14">
        <v>4</v>
      </c>
      <c r="F14">
        <v>0</v>
      </c>
      <c r="G14" t="s">
        <v>112</v>
      </c>
      <c r="H14">
        <f>tblEmployees[[#This Row],[Attendance]]/100</f>
        <v>0.88</v>
      </c>
    </row>
    <row r="15" spans="1:8">
      <c r="A15" t="s">
        <v>20</v>
      </c>
      <c r="B15" t="s">
        <v>70</v>
      </c>
      <c r="C15" t="s">
        <v>110</v>
      </c>
      <c r="D15">
        <v>77</v>
      </c>
      <c r="E15">
        <v>3</v>
      </c>
      <c r="F15">
        <v>0</v>
      </c>
      <c r="G15" t="s">
        <v>112</v>
      </c>
      <c r="H15">
        <f>tblEmployees[[#This Row],[Attendance]]/100</f>
        <v>0.77</v>
      </c>
    </row>
    <row r="16" spans="1:8">
      <c r="A16" t="s">
        <v>21</v>
      </c>
      <c r="B16" t="s">
        <v>71</v>
      </c>
      <c r="C16" t="s">
        <v>107</v>
      </c>
      <c r="D16">
        <v>85</v>
      </c>
      <c r="E16">
        <v>4</v>
      </c>
      <c r="F16">
        <v>0</v>
      </c>
      <c r="G16" t="s">
        <v>112</v>
      </c>
      <c r="H16">
        <f>tblEmployees[[#This Row],[Attendance]]/100</f>
        <v>0.85</v>
      </c>
    </row>
    <row r="17" spans="1:8">
      <c r="A17" t="s">
        <v>22</v>
      </c>
      <c r="B17" t="s">
        <v>72</v>
      </c>
      <c r="C17" t="s">
        <v>110</v>
      </c>
      <c r="D17">
        <v>93</v>
      </c>
      <c r="E17">
        <v>3</v>
      </c>
      <c r="F17">
        <v>0</v>
      </c>
      <c r="G17" t="s">
        <v>112</v>
      </c>
      <c r="H17">
        <f>tblEmployees[[#This Row],[Attendance]]/100</f>
        <v>0.93</v>
      </c>
    </row>
    <row r="18" spans="1:8">
      <c r="A18" t="s">
        <v>23</v>
      </c>
      <c r="B18" t="s">
        <v>73</v>
      </c>
      <c r="C18" t="s">
        <v>107</v>
      </c>
      <c r="D18">
        <v>69</v>
      </c>
      <c r="E18">
        <v>3</v>
      </c>
      <c r="F18">
        <v>0</v>
      </c>
      <c r="G18" t="s">
        <v>112</v>
      </c>
      <c r="H18">
        <f>tblEmployees[[#This Row],[Attendance]]/100</f>
        <v>0.69</v>
      </c>
    </row>
    <row r="19" spans="1:8">
      <c r="A19" t="s">
        <v>24</v>
      </c>
      <c r="B19" t="s">
        <v>74</v>
      </c>
      <c r="C19" t="s">
        <v>108</v>
      </c>
      <c r="D19">
        <v>95</v>
      </c>
      <c r="E19">
        <v>3</v>
      </c>
      <c r="F19">
        <v>0</v>
      </c>
      <c r="G19" t="s">
        <v>112</v>
      </c>
      <c r="H19">
        <f>tblEmployees[[#This Row],[Attendance]]/100</f>
        <v>0.95</v>
      </c>
    </row>
    <row r="20" spans="1:8">
      <c r="A20" t="s">
        <v>25</v>
      </c>
      <c r="B20" t="s">
        <v>75</v>
      </c>
      <c r="C20" t="s">
        <v>111</v>
      </c>
      <c r="D20">
        <v>73</v>
      </c>
      <c r="E20">
        <v>1</v>
      </c>
      <c r="F20">
        <v>0</v>
      </c>
      <c r="G20" t="s">
        <v>112</v>
      </c>
      <c r="H20">
        <f>tblEmployees[[#This Row],[Attendance]]/100</f>
        <v>0.73</v>
      </c>
    </row>
    <row r="21" spans="1:8">
      <c r="A21" t="s">
        <v>26</v>
      </c>
      <c r="B21" t="s">
        <v>76</v>
      </c>
      <c r="C21" t="s">
        <v>107</v>
      </c>
      <c r="D21">
        <v>90</v>
      </c>
      <c r="E21">
        <v>2</v>
      </c>
      <c r="F21">
        <v>0</v>
      </c>
      <c r="G21" t="s">
        <v>112</v>
      </c>
      <c r="H21">
        <f>tblEmployees[[#This Row],[Attendance]]/100</f>
        <v>0.9</v>
      </c>
    </row>
    <row r="22" spans="1:8">
      <c r="A22" t="s">
        <v>27</v>
      </c>
      <c r="B22" t="s">
        <v>77</v>
      </c>
      <c r="C22" t="s">
        <v>110</v>
      </c>
      <c r="D22">
        <v>74</v>
      </c>
      <c r="E22">
        <v>1</v>
      </c>
      <c r="F22">
        <v>1</v>
      </c>
      <c r="G22" t="s">
        <v>112</v>
      </c>
      <c r="H22">
        <f>tblEmployees[[#This Row],[Attendance]]/100</f>
        <v>0.74</v>
      </c>
    </row>
    <row r="23" spans="1:8">
      <c r="A23" t="s">
        <v>28</v>
      </c>
      <c r="B23" t="s">
        <v>78</v>
      </c>
      <c r="C23" t="s">
        <v>108</v>
      </c>
      <c r="D23">
        <v>67</v>
      </c>
      <c r="E23">
        <v>3</v>
      </c>
      <c r="F23">
        <v>0</v>
      </c>
      <c r="G23" t="s">
        <v>113</v>
      </c>
      <c r="H23">
        <f>tblEmployees[[#This Row],[Attendance]]/100</f>
        <v>0.67</v>
      </c>
    </row>
    <row r="24" spans="1:8">
      <c r="A24" t="s">
        <v>29</v>
      </c>
      <c r="B24" t="s">
        <v>79</v>
      </c>
      <c r="C24" t="s">
        <v>107</v>
      </c>
      <c r="D24">
        <v>73</v>
      </c>
      <c r="E24">
        <v>3</v>
      </c>
      <c r="F24">
        <v>0</v>
      </c>
      <c r="G24" t="s">
        <v>113</v>
      </c>
      <c r="H24">
        <f>tblEmployees[[#This Row],[Attendance]]/100</f>
        <v>0.73</v>
      </c>
    </row>
    <row r="25" spans="1:8">
      <c r="A25" t="s">
        <v>30</v>
      </c>
      <c r="B25" t="s">
        <v>80</v>
      </c>
      <c r="C25" t="s">
        <v>111</v>
      </c>
      <c r="D25">
        <v>82</v>
      </c>
      <c r="E25">
        <v>3</v>
      </c>
      <c r="F25">
        <v>0</v>
      </c>
      <c r="G25" t="s">
        <v>112</v>
      </c>
      <c r="H25">
        <f>tblEmployees[[#This Row],[Attendance]]/100</f>
        <v>0.82</v>
      </c>
    </row>
    <row r="26" spans="1:8">
      <c r="A26" t="s">
        <v>31</v>
      </c>
      <c r="B26" t="s">
        <v>81</v>
      </c>
      <c r="C26" t="s">
        <v>111</v>
      </c>
      <c r="D26">
        <v>99</v>
      </c>
      <c r="E26">
        <v>5</v>
      </c>
      <c r="F26">
        <v>1</v>
      </c>
      <c r="G26" t="s">
        <v>112</v>
      </c>
      <c r="H26">
        <f>tblEmployees[[#This Row],[Attendance]]/100</f>
        <v>0.99</v>
      </c>
    </row>
    <row r="27" spans="1:8">
      <c r="A27" t="s">
        <v>32</v>
      </c>
      <c r="B27" t="s">
        <v>82</v>
      </c>
      <c r="C27" t="s">
        <v>109</v>
      </c>
      <c r="D27">
        <v>80</v>
      </c>
      <c r="E27">
        <v>2</v>
      </c>
      <c r="F27">
        <v>0</v>
      </c>
      <c r="G27" t="s">
        <v>113</v>
      </c>
      <c r="H27">
        <f>tblEmployees[[#This Row],[Attendance]]/100</f>
        <v>0.8</v>
      </c>
    </row>
    <row r="28" spans="1:8">
      <c r="A28" t="s">
        <v>33</v>
      </c>
      <c r="B28" t="s">
        <v>83</v>
      </c>
      <c r="C28" t="s">
        <v>109</v>
      </c>
      <c r="D28">
        <v>75</v>
      </c>
      <c r="E28">
        <v>3</v>
      </c>
      <c r="F28">
        <v>0</v>
      </c>
      <c r="G28" t="s">
        <v>113</v>
      </c>
      <c r="H28">
        <f>tblEmployees[[#This Row],[Attendance]]/100</f>
        <v>0.75</v>
      </c>
    </row>
    <row r="29" spans="1:8">
      <c r="A29" t="s">
        <v>34</v>
      </c>
      <c r="B29" t="s">
        <v>84</v>
      </c>
      <c r="C29" t="s">
        <v>110</v>
      </c>
      <c r="D29">
        <v>77</v>
      </c>
      <c r="E29">
        <v>4</v>
      </c>
      <c r="F29">
        <v>0</v>
      </c>
      <c r="G29" t="s">
        <v>112</v>
      </c>
      <c r="H29">
        <f>tblEmployees[[#This Row],[Attendance]]/100</f>
        <v>0.77</v>
      </c>
    </row>
    <row r="30" spans="1:8">
      <c r="A30" t="s">
        <v>35</v>
      </c>
      <c r="B30" t="s">
        <v>85</v>
      </c>
      <c r="C30" t="s">
        <v>107</v>
      </c>
      <c r="D30">
        <v>83</v>
      </c>
      <c r="E30">
        <v>2</v>
      </c>
      <c r="F30">
        <v>0</v>
      </c>
      <c r="G30" t="s">
        <v>113</v>
      </c>
      <c r="H30">
        <f>tblEmployees[[#This Row],[Attendance]]/100</f>
        <v>0.83</v>
      </c>
    </row>
    <row r="31" spans="1:8">
      <c r="A31" t="s">
        <v>36</v>
      </c>
      <c r="B31" t="s">
        <v>86</v>
      </c>
      <c r="C31" t="s">
        <v>107</v>
      </c>
      <c r="D31">
        <v>85</v>
      </c>
      <c r="E31">
        <v>1</v>
      </c>
      <c r="F31">
        <v>0</v>
      </c>
      <c r="G31" t="s">
        <v>113</v>
      </c>
      <c r="H31">
        <f>tblEmployees[[#This Row],[Attendance]]/100</f>
        <v>0.85</v>
      </c>
    </row>
    <row r="32" spans="1:8">
      <c r="A32" t="s">
        <v>37</v>
      </c>
      <c r="B32" t="s">
        <v>87</v>
      </c>
      <c r="C32" t="s">
        <v>109</v>
      </c>
      <c r="D32">
        <v>84</v>
      </c>
      <c r="E32">
        <v>3</v>
      </c>
      <c r="F32">
        <v>0</v>
      </c>
      <c r="G32" t="s">
        <v>112</v>
      </c>
      <c r="H32">
        <f>tblEmployees[[#This Row],[Attendance]]/100</f>
        <v>0.84</v>
      </c>
    </row>
    <row r="33" spans="1:8">
      <c r="A33" t="s">
        <v>38</v>
      </c>
      <c r="B33" t="s">
        <v>88</v>
      </c>
      <c r="C33" t="s">
        <v>107</v>
      </c>
      <c r="D33">
        <v>88</v>
      </c>
      <c r="E33">
        <v>2</v>
      </c>
      <c r="F33">
        <v>0</v>
      </c>
      <c r="G33" t="s">
        <v>112</v>
      </c>
      <c r="H33">
        <f>tblEmployees[[#This Row],[Attendance]]/100</f>
        <v>0.88</v>
      </c>
    </row>
    <row r="34" spans="1:8">
      <c r="A34" t="s">
        <v>39</v>
      </c>
      <c r="B34" t="s">
        <v>89</v>
      </c>
      <c r="C34" t="s">
        <v>107</v>
      </c>
      <c r="D34">
        <v>74</v>
      </c>
      <c r="E34">
        <v>5</v>
      </c>
      <c r="F34">
        <v>0</v>
      </c>
      <c r="G34" t="s">
        <v>112</v>
      </c>
      <c r="H34">
        <f>tblEmployees[[#This Row],[Attendance]]/100</f>
        <v>0.74</v>
      </c>
    </row>
    <row r="35" spans="1:8">
      <c r="A35" t="s">
        <v>40</v>
      </c>
      <c r="B35" t="s">
        <v>90</v>
      </c>
      <c r="C35" t="s">
        <v>111</v>
      </c>
      <c r="D35">
        <v>60</v>
      </c>
      <c r="E35">
        <v>4</v>
      </c>
      <c r="F35">
        <v>0</v>
      </c>
      <c r="G35" t="s">
        <v>112</v>
      </c>
      <c r="H35">
        <f>tblEmployees[[#This Row],[Attendance]]/100</f>
        <v>0.6</v>
      </c>
    </row>
    <row r="36" spans="1:8">
      <c r="A36" t="s">
        <v>41</v>
      </c>
      <c r="B36" t="s">
        <v>91</v>
      </c>
      <c r="C36" t="s">
        <v>109</v>
      </c>
      <c r="D36">
        <v>84</v>
      </c>
      <c r="E36">
        <v>3</v>
      </c>
      <c r="F36">
        <v>0</v>
      </c>
      <c r="G36" t="s">
        <v>112</v>
      </c>
      <c r="H36">
        <f>tblEmployees[[#This Row],[Attendance]]/100</f>
        <v>0.84</v>
      </c>
    </row>
    <row r="37" spans="1:8">
      <c r="A37" t="s">
        <v>42</v>
      </c>
      <c r="B37" t="s">
        <v>92</v>
      </c>
      <c r="C37" t="s">
        <v>108</v>
      </c>
      <c r="D37">
        <v>66</v>
      </c>
      <c r="E37">
        <v>4</v>
      </c>
      <c r="F37">
        <v>1</v>
      </c>
      <c r="G37" t="s">
        <v>112</v>
      </c>
      <c r="H37">
        <f>tblEmployees[[#This Row],[Attendance]]/100</f>
        <v>0.66</v>
      </c>
    </row>
    <row r="38" spans="1:8">
      <c r="A38" t="s">
        <v>43</v>
      </c>
      <c r="B38" t="s">
        <v>93</v>
      </c>
      <c r="C38" t="s">
        <v>109</v>
      </c>
      <c r="D38">
        <v>68</v>
      </c>
      <c r="E38">
        <v>4</v>
      </c>
      <c r="F38">
        <v>0</v>
      </c>
      <c r="G38" t="s">
        <v>112</v>
      </c>
      <c r="H38">
        <f>tblEmployees[[#This Row],[Attendance]]/100</f>
        <v>0.68</v>
      </c>
    </row>
    <row r="39" spans="1:8">
      <c r="A39" t="s">
        <v>44</v>
      </c>
      <c r="B39" t="s">
        <v>94</v>
      </c>
      <c r="C39" t="s">
        <v>108</v>
      </c>
      <c r="D39">
        <v>83</v>
      </c>
      <c r="E39">
        <v>2</v>
      </c>
      <c r="F39">
        <v>0</v>
      </c>
      <c r="G39" t="s">
        <v>112</v>
      </c>
      <c r="H39">
        <f>tblEmployees[[#This Row],[Attendance]]/100</f>
        <v>0.83</v>
      </c>
    </row>
    <row r="40" spans="1:8">
      <c r="A40" t="s">
        <v>45</v>
      </c>
      <c r="B40" t="s">
        <v>95</v>
      </c>
      <c r="C40" t="s">
        <v>111</v>
      </c>
      <c r="D40">
        <v>60</v>
      </c>
      <c r="E40">
        <v>4</v>
      </c>
      <c r="F40">
        <v>0</v>
      </c>
      <c r="G40" t="s">
        <v>112</v>
      </c>
      <c r="H40">
        <f>tblEmployees[[#This Row],[Attendance]]/100</f>
        <v>0.6</v>
      </c>
    </row>
    <row r="41" spans="1:8">
      <c r="A41" t="s">
        <v>46</v>
      </c>
      <c r="B41" t="s">
        <v>96</v>
      </c>
      <c r="C41" t="s">
        <v>110</v>
      </c>
      <c r="D41">
        <v>67</v>
      </c>
      <c r="E41">
        <v>3</v>
      </c>
      <c r="F41">
        <v>0</v>
      </c>
      <c r="G41" t="s">
        <v>112</v>
      </c>
      <c r="H41">
        <f>tblEmployees[[#This Row],[Attendance]]/100</f>
        <v>0.67</v>
      </c>
    </row>
    <row r="42" spans="1:8">
      <c r="A42" t="s">
        <v>47</v>
      </c>
      <c r="B42" t="s">
        <v>97</v>
      </c>
      <c r="C42" t="s">
        <v>107</v>
      </c>
      <c r="D42">
        <v>83</v>
      </c>
      <c r="E42">
        <v>4</v>
      </c>
      <c r="F42">
        <v>0</v>
      </c>
      <c r="G42" t="s">
        <v>112</v>
      </c>
      <c r="H42">
        <f>tblEmployees[[#This Row],[Attendance]]/100</f>
        <v>0.83</v>
      </c>
    </row>
    <row r="43" spans="1:8">
      <c r="A43" t="s">
        <v>48</v>
      </c>
      <c r="B43" t="s">
        <v>98</v>
      </c>
      <c r="C43" t="s">
        <v>111</v>
      </c>
      <c r="D43">
        <v>70</v>
      </c>
      <c r="E43">
        <v>4</v>
      </c>
      <c r="F43">
        <v>0</v>
      </c>
      <c r="G43" t="s">
        <v>112</v>
      </c>
      <c r="H43">
        <f>tblEmployees[[#This Row],[Attendance]]/100</f>
        <v>0.7</v>
      </c>
    </row>
    <row r="44" spans="1:8">
      <c r="A44" t="s">
        <v>49</v>
      </c>
      <c r="B44" t="s">
        <v>99</v>
      </c>
      <c r="C44" t="s">
        <v>107</v>
      </c>
      <c r="D44">
        <v>76</v>
      </c>
      <c r="E44">
        <v>3</v>
      </c>
      <c r="F44">
        <v>0</v>
      </c>
      <c r="G44" t="s">
        <v>113</v>
      </c>
      <c r="H44">
        <f>tblEmployees[[#This Row],[Attendance]]/100</f>
        <v>0.76</v>
      </c>
    </row>
    <row r="45" spans="1:8">
      <c r="A45" t="s">
        <v>50</v>
      </c>
      <c r="B45" t="s">
        <v>100</v>
      </c>
      <c r="C45" t="s">
        <v>110</v>
      </c>
      <c r="D45">
        <v>67</v>
      </c>
      <c r="E45">
        <v>2</v>
      </c>
      <c r="F45">
        <v>0</v>
      </c>
      <c r="G45" t="s">
        <v>112</v>
      </c>
      <c r="H45">
        <f>tblEmployees[[#This Row],[Attendance]]/100</f>
        <v>0.67</v>
      </c>
    </row>
    <row r="46" spans="1:8">
      <c r="A46" t="s">
        <v>51</v>
      </c>
      <c r="B46" t="s">
        <v>101</v>
      </c>
      <c r="C46" t="s">
        <v>110</v>
      </c>
      <c r="D46">
        <v>94</v>
      </c>
      <c r="E46">
        <v>2</v>
      </c>
      <c r="F46">
        <v>0</v>
      </c>
      <c r="G46" t="s">
        <v>112</v>
      </c>
      <c r="H46">
        <f>tblEmployees[[#This Row],[Attendance]]/100</f>
        <v>0.94</v>
      </c>
    </row>
    <row r="47" spans="1:8">
      <c r="A47" t="s">
        <v>52</v>
      </c>
      <c r="B47" t="s">
        <v>102</v>
      </c>
      <c r="C47" t="s">
        <v>111</v>
      </c>
      <c r="D47">
        <v>94</v>
      </c>
      <c r="E47">
        <v>3</v>
      </c>
      <c r="F47">
        <v>0</v>
      </c>
      <c r="G47" t="s">
        <v>112</v>
      </c>
      <c r="H47">
        <f>tblEmployees[[#This Row],[Attendance]]/100</f>
        <v>0.94</v>
      </c>
    </row>
    <row r="48" spans="1:8">
      <c r="A48" t="s">
        <v>53</v>
      </c>
      <c r="B48" t="s">
        <v>103</v>
      </c>
      <c r="C48" t="s">
        <v>110</v>
      </c>
      <c r="D48">
        <v>92</v>
      </c>
      <c r="E48">
        <v>4</v>
      </c>
      <c r="F48">
        <v>0</v>
      </c>
      <c r="G48" t="s">
        <v>112</v>
      </c>
      <c r="H48">
        <f>tblEmployees[[#This Row],[Attendance]]/100</f>
        <v>0.92</v>
      </c>
    </row>
    <row r="49" spans="1:8">
      <c r="A49" t="s">
        <v>54</v>
      </c>
      <c r="B49" t="s">
        <v>104</v>
      </c>
      <c r="C49" t="s">
        <v>108</v>
      </c>
      <c r="D49">
        <v>64</v>
      </c>
      <c r="E49">
        <v>4</v>
      </c>
      <c r="F49">
        <v>0</v>
      </c>
      <c r="G49" t="s">
        <v>112</v>
      </c>
      <c r="H49">
        <f>tblEmployees[[#This Row],[Attendance]]/100</f>
        <v>0.64</v>
      </c>
    </row>
    <row r="50" spans="1:8">
      <c r="A50" t="s">
        <v>55</v>
      </c>
      <c r="B50" t="s">
        <v>105</v>
      </c>
      <c r="C50" t="s">
        <v>110</v>
      </c>
      <c r="D50">
        <v>98</v>
      </c>
      <c r="E50">
        <v>1</v>
      </c>
      <c r="F50">
        <v>1</v>
      </c>
      <c r="G50" t="s">
        <v>112</v>
      </c>
      <c r="H50">
        <f>tblEmployees[[#This Row],[Attendance]]/100</f>
        <v>0.98</v>
      </c>
    </row>
    <row r="51" spans="1:8">
      <c r="A51" t="s">
        <v>56</v>
      </c>
      <c r="B51" t="s">
        <v>106</v>
      </c>
      <c r="C51" t="s">
        <v>107</v>
      </c>
      <c r="D51">
        <v>87</v>
      </c>
      <c r="E51">
        <v>3</v>
      </c>
      <c r="F51">
        <v>0</v>
      </c>
      <c r="G51" t="s">
        <v>112</v>
      </c>
      <c r="H51">
        <f>tblEmployees[[#This Row],[Attendance]]/100</f>
        <v>0.87</v>
      </c>
    </row>
  </sheetData>
  <conditionalFormatting sqref="H2:H51">
    <cfRule type="cellIs" dxfId="10" priority="4" operator="lessThan">
      <formula>0.75</formula>
    </cfRule>
  </conditionalFormatting>
  <conditionalFormatting sqref="E2:E51">
    <cfRule type="colorScale" priority="2">
      <colorScale>
        <cfvo type="min"/>
        <cfvo type="max"/>
        <color theme="8"/>
        <color rgb="FFFFEF9C"/>
      </colorScale>
    </cfRule>
    <cfRule type="cellIs" dxfId="9" priority="3" operator="lessThanOrEqual">
      <formula>2</formula>
    </cfRule>
  </conditionalFormatting>
  <conditionalFormatting sqref="G1:G1048576">
    <cfRule type="expression" dxfId="8" priority="1">
      <formula>"Attrition &gt; 15"</formula>
    </cfRule>
  </conditionalFormatting>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FB578-81A8-4F41-8016-EBDF2394BA24}">
  <dimension ref="A1:H1"/>
  <sheetViews>
    <sheetView workbookViewId="0"/>
  </sheetViews>
  <sheetFormatPr defaultRowHeight="14.5"/>
  <cols>
    <col min="2" max="2" width="9.36328125" bestFit="1" customWidth="1"/>
  </cols>
  <sheetData>
    <row r="1" spans="1:8">
      <c r="A1">
        <f>COUNTA(tblEmployees[Employee_ID])</f>
        <v>50</v>
      </c>
      <c r="B1" s="4">
        <f>AVERAGE(tblEmployees[AttendancePct])</f>
        <v>0.78659999999999985</v>
      </c>
      <c r="C1" s="3">
        <f>AVERAGE(tblEmployees[Performance_Rating])</f>
        <v>3.02</v>
      </c>
      <c r="D1" s="5">
        <f>COUNTIF(tblEmployees[Promotions],1)/COUNTA(tblEmployees[Employee_ID])</f>
        <v>0.14000000000000001</v>
      </c>
      <c r="E1" s="5">
        <f>COUNTIF(tblEmployees[Attrition],"Yes")/COUNTA(tblEmployees[Employee_ID])</f>
        <v>0.18</v>
      </c>
      <c r="F1">
        <f>AVERAGEIFS(tblEmployees[Performance_Rating], tblEmployees[Department], "IT")</f>
        <v>3.4285714285714284</v>
      </c>
      <c r="G1" s="6">
        <f>AVERAGEIFS(tblEmployees[Performance_Rating], tblEmployees[Promotions], 1)</f>
        <v>2.7142857142857144</v>
      </c>
      <c r="H1">
        <f>CORREL(tblEmployees[Promotions], tblEmployees[Performance_Rating])</f>
        <v>-0.12215622750960968</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4794C-13B3-4400-8964-A0BF2F62784B}">
  <dimension ref="A1:A12"/>
  <sheetViews>
    <sheetView topLeftCell="A3" zoomScale="70" zoomScaleNormal="70" workbookViewId="0">
      <selection activeCell="H19" sqref="H19"/>
    </sheetView>
  </sheetViews>
  <sheetFormatPr defaultRowHeight="14.5"/>
  <cols>
    <col min="1" max="1" width="14.08984375" bestFit="1" customWidth="1"/>
  </cols>
  <sheetData>
    <row r="1" spans="1:1">
      <c r="A1" s="7"/>
    </row>
    <row r="3" spans="1:1">
      <c r="A3" s="8"/>
    </row>
    <row r="4" spans="1:1">
      <c r="A4" s="9"/>
    </row>
    <row r="5" spans="1:1">
      <c r="A5" s="8"/>
    </row>
    <row r="6" spans="1:1">
      <c r="A6" s="8"/>
    </row>
    <row r="7" spans="1:1">
      <c r="A7" s="10"/>
    </row>
    <row r="8" spans="1:1">
      <c r="A8" s="10"/>
    </row>
    <row r="9" spans="1:1">
      <c r="A9" s="10"/>
    </row>
    <row r="10" spans="1:1">
      <c r="A10" s="10"/>
    </row>
    <row r="11" spans="1:1">
      <c r="A11" s="8"/>
    </row>
    <row r="12" spans="1:1">
      <c r="A12" s="8"/>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02519-6D1C-4032-B1E0-E3D31C7AD4CA}">
  <dimension ref="B1:V19"/>
  <sheetViews>
    <sheetView showGridLines="0" tabSelected="1" zoomScale="70" zoomScaleNormal="70" workbookViewId="0">
      <selection activeCell="L6" sqref="L6:M10"/>
    </sheetView>
  </sheetViews>
  <sheetFormatPr defaultRowHeight="14.5"/>
  <cols>
    <col min="5" max="5" width="13.08984375" bestFit="1" customWidth="1"/>
    <col min="6" max="6" width="22.81640625" bestFit="1" customWidth="1"/>
    <col min="7" max="7" width="8.7265625" customWidth="1"/>
    <col min="8" max="8" width="11.453125" customWidth="1"/>
    <col min="9" max="9" width="10.7265625" customWidth="1"/>
    <col min="13" max="13" width="9.81640625" customWidth="1"/>
  </cols>
  <sheetData>
    <row r="1" spans="2:22" s="14" customFormat="1" ht="46">
      <c r="B1" s="42" t="s">
        <v>122</v>
      </c>
      <c r="C1" s="42"/>
      <c r="D1" s="42"/>
      <c r="E1" s="42"/>
      <c r="F1" s="42"/>
      <c r="G1" s="42"/>
      <c r="H1" s="42"/>
      <c r="I1" s="42"/>
      <c r="J1" s="42"/>
      <c r="K1" s="42"/>
      <c r="L1" s="42"/>
      <c r="M1" s="42"/>
      <c r="N1" s="42"/>
      <c r="O1" s="42"/>
      <c r="P1" s="42"/>
      <c r="Q1" s="42"/>
      <c r="R1" s="42"/>
      <c r="S1" s="17"/>
      <c r="T1" s="17"/>
      <c r="U1" s="16"/>
      <c r="V1" s="16"/>
    </row>
    <row r="2" spans="2:22" s="14" customFormat="1" ht="14" customHeight="1">
      <c r="D2" s="15"/>
      <c r="E2" s="15"/>
      <c r="F2" s="15"/>
      <c r="G2" s="15"/>
      <c r="H2" s="15"/>
      <c r="I2" s="15"/>
      <c r="J2" s="15"/>
      <c r="K2" s="15"/>
      <c r="L2" s="15"/>
      <c r="M2" s="15"/>
      <c r="N2" s="15"/>
      <c r="O2" s="15"/>
      <c r="P2" s="15"/>
      <c r="Q2" s="15"/>
      <c r="R2" s="15"/>
      <c r="S2" s="15"/>
      <c r="T2" s="15"/>
      <c r="U2" s="15"/>
      <c r="V2" s="15"/>
    </row>
    <row r="3" spans="2:22" s="14" customFormat="1" ht="14" customHeight="1">
      <c r="D3" s="15"/>
      <c r="E3" s="15"/>
      <c r="F3" s="15"/>
      <c r="G3" s="15"/>
      <c r="H3" s="15"/>
      <c r="I3" s="15"/>
      <c r="J3" s="15"/>
      <c r="K3" s="15"/>
      <c r="L3" s="15"/>
      <c r="M3" s="15"/>
      <c r="N3" s="15"/>
      <c r="O3" s="15"/>
      <c r="P3" s="15"/>
      <c r="Q3" s="15"/>
      <c r="R3" s="15"/>
      <c r="S3" s="15"/>
      <c r="T3" s="15"/>
      <c r="U3" s="15"/>
      <c r="V3" s="15"/>
    </row>
    <row r="4" spans="2:22" s="14" customFormat="1" ht="14" customHeight="1">
      <c r="D4" s="15"/>
      <c r="E4" s="15"/>
      <c r="F4" s="15"/>
      <c r="G4" s="15"/>
      <c r="H4" s="15"/>
      <c r="I4" s="15"/>
      <c r="J4" s="15"/>
      <c r="K4" s="15"/>
      <c r="L4" s="15"/>
      <c r="M4" s="15"/>
      <c r="N4" s="15"/>
      <c r="O4" s="15"/>
      <c r="P4" s="15"/>
      <c r="Q4" s="15"/>
      <c r="R4" s="15"/>
      <c r="S4" s="15"/>
      <c r="T4" s="15"/>
      <c r="U4" s="15"/>
      <c r="V4" s="15"/>
    </row>
    <row r="5" spans="2:22">
      <c r="J5" s="7"/>
    </row>
    <row r="6" spans="2:22" ht="14.5" customHeight="1">
      <c r="C6" s="18">
        <f>Calc!A1</f>
        <v>50</v>
      </c>
      <c r="D6" s="19"/>
      <c r="F6" s="24">
        <f>Calc!B1</f>
        <v>0.78659999999999985</v>
      </c>
      <c r="G6" s="25"/>
      <c r="I6" s="30">
        <f>Calc!C1</f>
        <v>3.02</v>
      </c>
      <c r="J6" s="31"/>
      <c r="L6" s="36">
        <f>Calc!D1</f>
        <v>0.14000000000000001</v>
      </c>
      <c r="M6" s="37"/>
    </row>
    <row r="7" spans="2:22" ht="14.5" customHeight="1">
      <c r="C7" s="20"/>
      <c r="D7" s="21"/>
      <c r="F7" s="26"/>
      <c r="G7" s="27"/>
      <c r="I7" s="32"/>
      <c r="J7" s="33"/>
      <c r="L7" s="38"/>
      <c r="M7" s="39"/>
    </row>
    <row r="8" spans="2:22" ht="14.5" customHeight="1">
      <c r="C8" s="20"/>
      <c r="D8" s="21"/>
      <c r="F8" s="26"/>
      <c r="G8" s="27"/>
      <c r="I8" s="32"/>
      <c r="J8" s="33"/>
      <c r="L8" s="38"/>
      <c r="M8" s="39"/>
    </row>
    <row r="9" spans="2:22" ht="14.5" customHeight="1">
      <c r="C9" s="20"/>
      <c r="D9" s="21"/>
      <c r="F9" s="26"/>
      <c r="G9" s="27"/>
      <c r="I9" s="32"/>
      <c r="J9" s="33"/>
      <c r="L9" s="38"/>
      <c r="M9" s="39"/>
    </row>
    <row r="10" spans="2:22" ht="14.5" customHeight="1">
      <c r="C10" s="22"/>
      <c r="D10" s="23"/>
      <c r="F10" s="28"/>
      <c r="G10" s="29"/>
      <c r="I10" s="34"/>
      <c r="J10" s="35"/>
      <c r="L10" s="40"/>
      <c r="M10" s="41"/>
    </row>
    <row r="13" spans="2:22">
      <c r="E13" s="11" t="s">
        <v>116</v>
      </c>
      <c r="F13" t="s">
        <v>118</v>
      </c>
      <c r="G13" s="11"/>
      <c r="H13" s="11"/>
      <c r="I13" s="11"/>
      <c r="J13" s="11"/>
      <c r="K13" s="11"/>
      <c r="L13" s="11"/>
      <c r="M13" s="11"/>
      <c r="N13" s="11"/>
      <c r="O13" s="11"/>
      <c r="P13" s="11"/>
      <c r="Q13" s="11"/>
      <c r="R13" s="11"/>
      <c r="S13" s="11"/>
      <c r="T13" s="11"/>
      <c r="U13" s="11"/>
      <c r="V13" s="11"/>
    </row>
    <row r="14" spans="2:22">
      <c r="E14" s="12" t="s">
        <v>109</v>
      </c>
      <c r="F14" s="4">
        <v>0.77799999999999991</v>
      </c>
    </row>
    <row r="15" spans="2:22">
      <c r="E15" s="12" t="s">
        <v>110</v>
      </c>
      <c r="F15" s="4">
        <v>0.81500000000000006</v>
      </c>
    </row>
    <row r="16" spans="2:22">
      <c r="E16" s="12" t="s">
        <v>111</v>
      </c>
      <c r="F16" s="4">
        <v>0.76857142857142868</v>
      </c>
    </row>
    <row r="17" spans="5:6">
      <c r="E17" s="12" t="s">
        <v>108</v>
      </c>
      <c r="F17" s="4">
        <v>0.7569999999999999</v>
      </c>
    </row>
    <row r="18" spans="5:6">
      <c r="E18" s="12" t="s">
        <v>107</v>
      </c>
      <c r="F18" s="4">
        <v>0.80384615384615365</v>
      </c>
    </row>
    <row r="19" spans="5:6">
      <c r="E19" s="12" t="s">
        <v>117</v>
      </c>
      <c r="F19" s="4">
        <v>0.78659999999999997</v>
      </c>
    </row>
  </sheetData>
  <sheetProtection algorithmName="SHA-512" hashValue="CEWOn9Pwn5o0fVsqV1tcBO7Sfq5b7zl0FKNB8ubF9TF/1vwQUO08ZWaoBK2RfNjXld7O1t6DkrZmVOPUzQpwxg==" saltValue="0vC5L7MVtx0qPNSRRsdPpg==" spinCount="100000" sheet="1" objects="1" scenarios="1"/>
  <mergeCells count="5">
    <mergeCell ref="C6:D10"/>
    <mergeCell ref="F6:G10"/>
    <mergeCell ref="I6:J10"/>
    <mergeCell ref="L6:M10"/>
    <mergeCell ref="B1:R1"/>
  </mergeCells>
  <conditionalFormatting sqref="L6:M10">
    <cfRule type="cellIs" dxfId="3" priority="1" operator="greaterThan">
      <formula>0.15</formula>
    </cfRule>
    <cfRule type="cellIs" dxfId="2" priority="2" operator="greaterThan">
      <formula>0.13</formula>
    </cfRule>
    <cfRule type="expression" dxfId="1" priority="3" stopIfTrue="1">
      <formula>"D1&gt;0.15"</formula>
    </cfRule>
    <cfRule type="expression" dxfId="0" priority="4" stopIfTrue="1">
      <formula>"Attrition &gt; 0.15"</formula>
    </cfRule>
  </conditionalFormatting>
  <pageMargins left="0.7" right="0.7" top="0.75" bottom="0.75" header="0.3" footer="0.3"/>
  <pageSetup paperSize="9" orientation="portrait" r:id="rId2"/>
  <drawing r:id="rId3"/>
  <legacy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Sheet1</vt:lpstr>
      <vt:lpstr>Pivot_Attendance</vt:lpstr>
      <vt:lpstr>Pivot_Bar</vt:lpstr>
      <vt:lpstr>Pivot_Attrition</vt:lpstr>
      <vt:lpstr>Pivot_PromoPerf</vt:lpstr>
      <vt:lpstr>RawData</vt:lpstr>
      <vt:lpstr>Calc</vt:lpstr>
      <vt:lpstr>Pivots</vt:lpstr>
      <vt:lpstr>Dashboard</vt:lpstr>
      <vt:lpstr>KPI_AttritionRate</vt:lpstr>
      <vt:lpstr>KPI_AVERAGEIFS</vt:lpstr>
      <vt:lpstr>KPI_Avg_Attendance</vt:lpstr>
      <vt:lpstr>KPI_AvgAttendance</vt:lpstr>
      <vt:lpstr>KPI_AvgPerformanceRating</vt:lpstr>
      <vt:lpstr>KPI_AvgRatingByDept</vt:lpstr>
      <vt:lpstr>KPI_CORREL</vt:lpstr>
      <vt:lpstr>KPI_PromotionRate</vt:lpstr>
      <vt:lpstr>KPI_TotalEmployees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2025-09-09T17:06:54Z</cp:lastPrinted>
  <dcterms:created xsi:type="dcterms:W3CDTF">2025-09-09T09:30:27Z</dcterms:created>
  <dcterms:modified xsi:type="dcterms:W3CDTF">2025-09-10T09:08:19Z</dcterms:modified>
</cp:coreProperties>
</file>